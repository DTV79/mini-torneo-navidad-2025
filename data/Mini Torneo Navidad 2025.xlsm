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iego\Dropbox\Torneos\Mini Torneo Navidad 2025\"/>
    </mc:Choice>
  </mc:AlternateContent>
  <bookViews>
    <workbookView xWindow="0" yWindow="0" windowWidth="28800" windowHeight="12330"/>
  </bookViews>
  <sheets>
    <sheet name="Liguilla Navidad 2025" sheetId="6" r:id="rId1"/>
    <sheet name="Cálculos Pádel 2025" sheetId="7" state="hidden" r:id="rId2"/>
  </sheets>
  <definedNames>
    <definedName name="_xlnm.Print_Area" localSheetId="0">'Liguilla Navidad 2025'!$A$2:$AJ$80</definedName>
    <definedName name="Pista1_Local" localSheetId="0">'Liguilla Navidad 2025'!$S$32:$S$52</definedName>
    <definedName name="Pista1_Local">#REF!</definedName>
    <definedName name="Pista1_Visitante" localSheetId="0">'Liguilla Navidad 2025'!$W$32:$W$52</definedName>
    <definedName name="Pista1_Visitante">#REF!</definedName>
    <definedName name="Pista2_Local" localSheetId="0">'Liguilla Navidad 2025'!$X$32:$X$52</definedName>
    <definedName name="Pista2_Local">#REF!</definedName>
    <definedName name="Pista2_Visitante" localSheetId="0">'Liguilla Navidad 2025'!#REF!</definedName>
    <definedName name="Pista2_Visitante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8" i="6" l="1"/>
  <c r="AH68" i="6"/>
  <c r="AG68" i="6"/>
  <c r="AH67" i="6" s="1"/>
  <c r="AJ67" i="6"/>
  <c r="AI67" i="6"/>
  <c r="AJ68" i="6" s="1"/>
  <c r="AG67" i="6"/>
  <c r="AE67" i="6"/>
  <c r="Q67" i="6"/>
  <c r="Z72" i="6"/>
  <c r="AA71" i="6" s="1"/>
  <c r="Z71" i="6"/>
  <c r="AA72" i="6" s="1"/>
  <c r="Z62" i="6"/>
  <c r="AA61" i="6" s="1"/>
  <c r="Z61" i="6"/>
  <c r="AA62" i="6" s="1"/>
  <c r="X61" i="6"/>
  <c r="AE55" i="6"/>
  <c r="X55" i="6"/>
  <c r="E24" i="6"/>
  <c r="E23" i="6"/>
  <c r="Q24" i="6"/>
  <c r="Q23" i="6"/>
  <c r="Q17" i="6"/>
  <c r="E17" i="6"/>
  <c r="AF67" i="6" l="1"/>
  <c r="X71" i="6"/>
  <c r="Q68" i="6" s="1"/>
  <c r="Y71" i="6"/>
  <c r="Y61" i="6"/>
  <c r="C10" i="7"/>
  <c r="C11" i="7"/>
  <c r="C9" i="7"/>
  <c r="C7" i="7"/>
  <c r="C8" i="7"/>
  <c r="C6" i="7"/>
  <c r="B25" i="7" l="1"/>
  <c r="B14" i="7"/>
  <c r="D44" i="6"/>
  <c r="D35" i="6"/>
  <c r="C31" i="7"/>
  <c r="C32" i="7"/>
  <c r="C30" i="7"/>
  <c r="AG30" i="6" l="1"/>
  <c r="AH29" i="6" s="1"/>
  <c r="AG29" i="6"/>
  <c r="AG27" i="6"/>
  <c r="AH26" i="6" s="1"/>
  <c r="AG26" i="6"/>
  <c r="AG24" i="6"/>
  <c r="AH23" i="6" s="1"/>
  <c r="AG23" i="6"/>
  <c r="Z30" i="6"/>
  <c r="AA29" i="6" s="1"/>
  <c r="Z29" i="6"/>
  <c r="Z27" i="6"/>
  <c r="AA26" i="6" s="1"/>
  <c r="Z26" i="6"/>
  <c r="Z24" i="6"/>
  <c r="Z23" i="6"/>
  <c r="AI25" i="6"/>
  <c r="AI28" i="6"/>
  <c r="AB25" i="6"/>
  <c r="AB28" i="6"/>
  <c r="C19" i="7"/>
  <c r="C20" i="7"/>
  <c r="C21" i="7"/>
  <c r="AB29" i="6"/>
  <c r="AC30" i="6" s="1"/>
  <c r="AB30" i="6"/>
  <c r="AC29" i="6" s="1"/>
  <c r="AI29" i="6"/>
  <c r="AJ30" i="6" s="1"/>
  <c r="AI30" i="6"/>
  <c r="AJ29" i="6" s="1"/>
  <c r="AI27" i="6"/>
  <c r="AJ26" i="6" s="1"/>
  <c r="AI26" i="6"/>
  <c r="AJ27" i="6" s="1"/>
  <c r="AB27" i="6"/>
  <c r="AC26" i="6" s="1"/>
  <c r="AB26" i="6"/>
  <c r="AI24" i="6"/>
  <c r="AJ23" i="6" s="1"/>
  <c r="AB24" i="6"/>
  <c r="AH30" i="6" l="1"/>
  <c r="AF29" i="6"/>
  <c r="AH27" i="6"/>
  <c r="AF26" i="6"/>
  <c r="AE26" i="6"/>
  <c r="W26" i="6" s="1"/>
  <c r="AA30" i="6"/>
  <c r="Y29" i="6"/>
  <c r="AA27" i="6"/>
  <c r="Y26" i="6"/>
  <c r="Y23" i="6"/>
  <c r="AF23" i="6"/>
  <c r="AA23" i="6"/>
  <c r="P30" i="7" s="1"/>
  <c r="AC23" i="6"/>
  <c r="AA24" i="6"/>
  <c r="G30" i="7"/>
  <c r="AE23" i="6"/>
  <c r="AH24" i="6"/>
  <c r="U32" i="7"/>
  <c r="AI23" i="6"/>
  <c r="AJ24" i="6" s="1"/>
  <c r="X21" i="7" s="1"/>
  <c r="N32" i="7"/>
  <c r="AB23" i="6"/>
  <c r="T30" i="7" s="1"/>
  <c r="N31" i="7"/>
  <c r="G32" i="7"/>
  <c r="M32" i="7"/>
  <c r="G31" i="7"/>
  <c r="M31" i="7"/>
  <c r="N30" i="7"/>
  <c r="F30" i="7"/>
  <c r="F31" i="7"/>
  <c r="F32" i="7"/>
  <c r="U31" i="7"/>
  <c r="X26" i="6"/>
  <c r="M30" i="7"/>
  <c r="AC27" i="6"/>
  <c r="U19" i="7"/>
  <c r="X19" i="7"/>
  <c r="X20" i="7"/>
  <c r="G21" i="7"/>
  <c r="M21" i="7"/>
  <c r="N21" i="7"/>
  <c r="N19" i="7"/>
  <c r="M20" i="7"/>
  <c r="N20" i="7"/>
  <c r="M19" i="7"/>
  <c r="X29" i="6"/>
  <c r="AE29" i="6"/>
  <c r="X23" i="6"/>
  <c r="F20" i="7"/>
  <c r="G19" i="7"/>
  <c r="F19" i="7"/>
  <c r="F21" i="7"/>
  <c r="G20" i="7"/>
  <c r="Q30" i="7" l="1"/>
  <c r="R30" i="7" s="1"/>
  <c r="X30" i="7"/>
  <c r="Q19" i="7"/>
  <c r="U30" i="7"/>
  <c r="V30" i="7" s="1"/>
  <c r="T20" i="7"/>
  <c r="Q31" i="7"/>
  <c r="Q20" i="7"/>
  <c r="T32" i="7"/>
  <c r="V32" i="7" s="1"/>
  <c r="T21" i="7"/>
  <c r="T31" i="7"/>
  <c r="V31" i="7" s="1"/>
  <c r="P19" i="7"/>
  <c r="P21" i="7"/>
  <c r="P32" i="7"/>
  <c r="X32" i="7"/>
  <c r="X31" i="7"/>
  <c r="P20" i="7"/>
  <c r="Q32" i="7"/>
  <c r="Q21" i="7"/>
  <c r="W27" i="6"/>
  <c r="P31" i="7"/>
  <c r="W24" i="6"/>
  <c r="W23" i="6"/>
  <c r="W30" i="6"/>
  <c r="W29" i="6"/>
  <c r="K24" i="6"/>
  <c r="K23" i="6"/>
  <c r="K30" i="6"/>
  <c r="K29" i="6"/>
  <c r="K27" i="6"/>
  <c r="K26" i="6"/>
  <c r="AC24" i="6"/>
  <c r="U20" i="7"/>
  <c r="H30" i="7"/>
  <c r="O32" i="7"/>
  <c r="T19" i="7"/>
  <c r="V19" i="7" s="1"/>
  <c r="O31" i="7"/>
  <c r="U21" i="7"/>
  <c r="H31" i="7"/>
  <c r="H32" i="7"/>
  <c r="J19" i="7"/>
  <c r="J30" i="7"/>
  <c r="J31" i="7"/>
  <c r="J32" i="7"/>
  <c r="O30" i="7"/>
  <c r="I30" i="7"/>
  <c r="I32" i="7"/>
  <c r="I31" i="7"/>
  <c r="H21" i="7"/>
  <c r="O19" i="7"/>
  <c r="O21" i="7"/>
  <c r="O20" i="7"/>
  <c r="J20" i="7"/>
  <c r="J21" i="7"/>
  <c r="I20" i="7"/>
  <c r="I21" i="7"/>
  <c r="I19" i="7"/>
  <c r="H19" i="7"/>
  <c r="H20" i="7"/>
  <c r="R19" i="7" l="1"/>
  <c r="S19" i="7" s="1"/>
  <c r="R20" i="7"/>
  <c r="S20" i="7" s="1"/>
  <c r="R31" i="7"/>
  <c r="S31" i="7" s="1"/>
  <c r="V20" i="7"/>
  <c r="V21" i="7"/>
  <c r="R32" i="7"/>
  <c r="S32" i="7" s="1"/>
  <c r="R21" i="7"/>
  <c r="S21" i="7" s="1"/>
  <c r="W32" i="7"/>
  <c r="Y32" i="7" s="1"/>
  <c r="Z32" i="7" s="1"/>
  <c r="W30" i="7"/>
  <c r="Y30" i="7" s="1"/>
  <c r="Z30" i="7" s="1"/>
  <c r="W31" i="7"/>
  <c r="Y31" i="7" s="1"/>
  <c r="Z31" i="7" s="1"/>
  <c r="W20" i="7"/>
  <c r="Y20" i="7" s="1"/>
  <c r="W21" i="7"/>
  <c r="Y21" i="7" s="1"/>
  <c r="W19" i="7"/>
  <c r="Y19" i="7" s="1"/>
  <c r="Z19" i="7" s="1"/>
  <c r="S30" i="7"/>
  <c r="K32" i="7"/>
  <c r="K19" i="7"/>
  <c r="K30" i="7"/>
  <c r="K31" i="7"/>
  <c r="K20" i="7"/>
  <c r="K21" i="7"/>
  <c r="AA19" i="7" l="1"/>
  <c r="Z21" i="7"/>
  <c r="AA21" i="7" s="1"/>
  <c r="Z20" i="7"/>
  <c r="AA20" i="7" s="1"/>
  <c r="L20" i="7"/>
  <c r="E20" i="7"/>
  <c r="L30" i="7"/>
  <c r="E30" i="7"/>
  <c r="L21" i="7"/>
  <c r="E21" i="7"/>
  <c r="L31" i="7"/>
  <c r="E31" i="7"/>
  <c r="L19" i="7"/>
  <c r="E19" i="7"/>
  <c r="L32" i="7"/>
  <c r="E32" i="7"/>
  <c r="AA32" i="7"/>
  <c r="AA30" i="7"/>
  <c r="AA31" i="7"/>
  <c r="B30" i="7" l="1"/>
  <c r="B31" i="7"/>
  <c r="B32" i="7"/>
  <c r="B20" i="7"/>
  <c r="B21" i="7"/>
  <c r="B19" i="7"/>
  <c r="E41" i="6" l="1"/>
  <c r="E39" i="6"/>
  <c r="E40" i="6"/>
  <c r="E49" i="6"/>
  <c r="E50" i="6"/>
  <c r="E48" i="6"/>
  <c r="H40" i="6"/>
  <c r="E71" i="6" s="1"/>
  <c r="AB71" i="6" s="1"/>
  <c r="AC72" i="6" s="1"/>
  <c r="N40" i="6"/>
  <c r="J41" i="6"/>
  <c r="P41" i="6"/>
  <c r="O39" i="6"/>
  <c r="I39" i="6"/>
  <c r="M40" i="6"/>
  <c r="I40" i="6"/>
  <c r="O40" i="6"/>
  <c r="K41" i="6"/>
  <c r="N39" i="6"/>
  <c r="H39" i="6"/>
  <c r="E61" i="6" s="1"/>
  <c r="AB61" i="6" s="1"/>
  <c r="AC62" i="6" s="1"/>
  <c r="P39" i="6"/>
  <c r="J40" i="6"/>
  <c r="P40" i="6"/>
  <c r="L41" i="6"/>
  <c r="M39" i="6"/>
  <c r="G39" i="6"/>
  <c r="G40" i="6"/>
  <c r="O41" i="6"/>
  <c r="J39" i="6"/>
  <c r="K40" i="6"/>
  <c r="G41" i="6"/>
  <c r="M41" i="6"/>
  <c r="L39" i="6"/>
  <c r="L40" i="6"/>
  <c r="H41" i="6"/>
  <c r="N41" i="6"/>
  <c r="K39" i="6"/>
  <c r="I41" i="6"/>
  <c r="L49" i="6"/>
  <c r="H50" i="6"/>
  <c r="N50" i="6"/>
  <c r="K48" i="6"/>
  <c r="G50" i="6"/>
  <c r="G49" i="6"/>
  <c r="M49" i="6"/>
  <c r="I50" i="6"/>
  <c r="O50" i="6"/>
  <c r="P48" i="6"/>
  <c r="J48" i="6"/>
  <c r="H49" i="6"/>
  <c r="E62" i="6" s="1"/>
  <c r="AB62" i="6" s="1"/>
  <c r="AC61" i="6" s="1"/>
  <c r="N49" i="6"/>
  <c r="J50" i="6"/>
  <c r="P50" i="6"/>
  <c r="O48" i="6"/>
  <c r="I48" i="6"/>
  <c r="I49" i="6"/>
  <c r="O49" i="6"/>
  <c r="K50" i="6"/>
  <c r="N48" i="6"/>
  <c r="H48" i="6"/>
  <c r="E72" i="6" s="1"/>
  <c r="AB72" i="6" s="1"/>
  <c r="AC71" i="6" s="1"/>
  <c r="L48" i="6"/>
  <c r="J49" i="6"/>
  <c r="P49" i="6"/>
  <c r="L50" i="6"/>
  <c r="M48" i="6"/>
  <c r="G48" i="6"/>
  <c r="K49" i="6"/>
  <c r="M50" i="6"/>
  <c r="K72" i="6" l="1"/>
  <c r="K71" i="6"/>
  <c r="K62" i="6" l="1"/>
  <c r="K61" i="6"/>
</calcChain>
</file>

<file path=xl/sharedStrings.xml><?xml version="1.0" encoding="utf-8"?>
<sst xmlns="http://schemas.openxmlformats.org/spreadsheetml/2006/main" count="192" uniqueCount="60">
  <si>
    <t>Pista 1</t>
  </si>
  <si>
    <t>Pista 2</t>
  </si>
  <si>
    <t>Juegos</t>
  </si>
  <si>
    <t>Equipo</t>
  </si>
  <si>
    <t>Partidos Jugados</t>
  </si>
  <si>
    <t>Ordenar</t>
  </si>
  <si>
    <t>G</t>
  </si>
  <si>
    <t>P</t>
  </si>
  <si>
    <t>Jerarquia</t>
  </si>
  <si>
    <t>CLASIFICACIÓN</t>
  </si>
  <si>
    <t>EQUIPOS</t>
  </si>
  <si>
    <t>Total</t>
  </si>
  <si>
    <t>I</t>
  </si>
  <si>
    <t>II</t>
  </si>
  <si>
    <t>III</t>
  </si>
  <si>
    <t>IV</t>
  </si>
  <si>
    <t>V</t>
  </si>
  <si>
    <t>A1</t>
  </si>
  <si>
    <t>A2</t>
  </si>
  <si>
    <t>A3</t>
  </si>
  <si>
    <t>PISTA 1</t>
  </si>
  <si>
    <t>PISTA 2</t>
  </si>
  <si>
    <t>B1</t>
  </si>
  <si>
    <t>B2</t>
  </si>
  <si>
    <t>B3</t>
  </si>
  <si>
    <t>GRUPOS</t>
  </si>
  <si>
    <t>Puntos</t>
  </si>
  <si>
    <t>Ganador</t>
  </si>
  <si>
    <t>Ganados</t>
  </si>
  <si>
    <t>Perdidos</t>
  </si>
  <si>
    <t>Partidos Ganados</t>
  </si>
  <si>
    <t>PUNTOS</t>
  </si>
  <si>
    <t>Diferencia</t>
  </si>
  <si>
    <t>EQUIPO</t>
  </si>
  <si>
    <t>PARTIDOS</t>
  </si>
  <si>
    <t>Jugados</t>
  </si>
  <si>
    <t>SETS</t>
  </si>
  <si>
    <t>Partidos Perdidos</t>
  </si>
  <si>
    <t>Dif.</t>
  </si>
  <si>
    <t>SEMIFINALES</t>
  </si>
  <si>
    <t>CRUCES DIRECTOS</t>
  </si>
  <si>
    <t>Perdedor</t>
  </si>
  <si>
    <t>Puntos Totales</t>
  </si>
  <si>
    <t>PUNTOS TOTALES</t>
  </si>
  <si>
    <t>Equipo (Alias)</t>
  </si>
  <si>
    <t>TODOS LOS EQUIPOS</t>
  </si>
  <si>
    <t>Alias</t>
  </si>
  <si>
    <t>PELÓN / NUNES</t>
  </si>
  <si>
    <t>GRUPO Z</t>
  </si>
  <si>
    <t>GRUPO Y</t>
  </si>
  <si>
    <t>Mini Torneo Navidad 2025</t>
  </si>
  <si>
    <t>MANOLO / JOSÉ</t>
  </si>
  <si>
    <t>CARLOS / QUINTANA</t>
  </si>
  <si>
    <t>JAIME / CAPÓN</t>
  </si>
  <si>
    <t>TOLEDO / JUAN</t>
  </si>
  <si>
    <t>JAVI / DIEGO</t>
  </si>
  <si>
    <t>LIGUILLA</t>
  </si>
  <si>
    <t>FINAL</t>
  </si>
  <si>
    <t>1ª semi</t>
  </si>
  <si>
    <t>2ª semi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</si>
</sst>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_ ;[Red]\-#,##0\ "/>
    <numFmt numFmtId="165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2"/>
      <color theme="5" tint="0.59999389629810485"/>
      <name val="Calibri"/>
      <family val="2"/>
      <scheme val="minor"/>
    </font>
    <font>
      <i/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FB47"/>
        <bgColor indexed="64"/>
      </patternFill>
    </fill>
    <fill>
      <patternFill patternType="solid">
        <fgColor rgb="FFEB9FDD"/>
        <bgColor indexed="64"/>
      </patternFill>
    </fill>
    <fill>
      <patternFill patternType="solid">
        <fgColor theme="5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slantDashDot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auto="1"/>
      </right>
      <top/>
      <bottom/>
      <diagonal/>
    </border>
    <border>
      <left style="slantDashDot">
        <color auto="1"/>
      </left>
      <right/>
      <top/>
      <bottom/>
      <diagonal/>
    </border>
    <border>
      <left/>
      <right style="slantDashDot">
        <color auto="1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slantDashDot">
        <color auto="1"/>
      </left>
      <right/>
      <top/>
      <bottom style="double">
        <color indexed="64"/>
      </bottom>
      <diagonal/>
    </border>
    <border>
      <left style="mediumDash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slantDashDot">
        <color auto="1"/>
      </left>
      <right style="slantDashDot">
        <color auto="1"/>
      </right>
      <top/>
      <bottom/>
      <diagonal/>
    </border>
    <border>
      <left style="slantDashDot">
        <color auto="1"/>
      </left>
      <right style="slantDashDot">
        <color auto="1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DashDot">
        <color auto="1"/>
      </left>
      <right style="mediumDashDot">
        <color auto="1"/>
      </right>
      <top/>
      <bottom/>
      <diagonal/>
    </border>
    <border>
      <left style="mediumDashDot">
        <color auto="1"/>
      </left>
      <right style="mediumDashDot">
        <color auto="1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5">
    <xf numFmtId="0" fontId="0" fillId="0" borderId="0" xfId="0"/>
    <xf numFmtId="0" fontId="1" fillId="0" borderId="0" xfId="0" applyFont="1" applyAlignme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9" borderId="24" xfId="0" applyFill="1" applyBorder="1" applyAlignment="1">
      <alignment horizontal="left" indent="2"/>
    </xf>
    <xf numFmtId="0" fontId="0" fillId="9" borderId="33" xfId="0" applyFill="1" applyBorder="1" applyAlignment="1">
      <alignment horizontal="left" indent="2"/>
    </xf>
    <xf numFmtId="0" fontId="0" fillId="9" borderId="10" xfId="0" applyFill="1" applyBorder="1" applyAlignment="1">
      <alignment horizontal="left" indent="2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1" fillId="6" borderId="43" xfId="0" applyFont="1" applyFill="1" applyBorder="1" applyAlignment="1">
      <alignment horizontal="center" wrapText="1"/>
    </xf>
    <xf numFmtId="0" fontId="1" fillId="6" borderId="44" xfId="0" applyFont="1" applyFill="1" applyBorder="1" applyAlignment="1">
      <alignment horizontal="center" wrapText="1"/>
    </xf>
    <xf numFmtId="0" fontId="1" fillId="6" borderId="45" xfId="0" applyFont="1" applyFill="1" applyBorder="1" applyAlignment="1">
      <alignment horizontal="center" wrapText="1"/>
    </xf>
    <xf numFmtId="0" fontId="1" fillId="6" borderId="46" xfId="0" applyFont="1" applyFill="1" applyBorder="1" applyAlignment="1">
      <alignment horizontal="center" wrapText="1"/>
    </xf>
    <xf numFmtId="0" fontId="1" fillId="6" borderId="47" xfId="0" applyFont="1" applyFill="1" applyBorder="1" applyAlignment="1">
      <alignment horizontal="center" wrapText="1"/>
    </xf>
    <xf numFmtId="0" fontId="1" fillId="0" borderId="43" xfId="0" applyFont="1" applyBorder="1" applyAlignment="1">
      <alignment horizontal="center" wrapText="1"/>
    </xf>
    <xf numFmtId="0" fontId="1" fillId="0" borderId="44" xfId="0" applyFont="1" applyBorder="1" applyAlignment="1">
      <alignment horizontal="center" wrapText="1"/>
    </xf>
    <xf numFmtId="0" fontId="1" fillId="0" borderId="45" xfId="0" applyFont="1" applyBorder="1" applyAlignment="1">
      <alignment horizontal="center" wrapText="1"/>
    </xf>
    <xf numFmtId="0" fontId="1" fillId="0" borderId="46" xfId="0" applyFont="1" applyBorder="1" applyAlignment="1">
      <alignment horizontal="center" wrapText="1"/>
    </xf>
    <xf numFmtId="0" fontId="1" fillId="0" borderId="47" xfId="0" applyFont="1" applyBorder="1" applyAlignment="1">
      <alignment horizontal="center" wrapText="1"/>
    </xf>
    <xf numFmtId="0" fontId="1" fillId="0" borderId="50" xfId="0" applyFont="1" applyBorder="1" applyAlignment="1">
      <alignment horizontal="center" wrapText="1"/>
    </xf>
    <xf numFmtId="0" fontId="1" fillId="6" borderId="50" xfId="0" applyFont="1" applyFill="1" applyBorder="1" applyAlignment="1">
      <alignment horizontal="center" wrapText="1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6" borderId="57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6" borderId="47" xfId="0" applyFill="1" applyBorder="1" applyAlignment="1">
      <alignment horizontal="center"/>
    </xf>
    <xf numFmtId="164" fontId="0" fillId="6" borderId="58" xfId="0" applyNumberFormat="1" applyFill="1" applyBorder="1" applyAlignment="1">
      <alignment horizontal="center"/>
    </xf>
    <xf numFmtId="164" fontId="0" fillId="6" borderId="59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0" xfId="0" applyBorder="1" applyAlignment="1">
      <alignment horizontal="center"/>
    </xf>
    <xf numFmtId="0" fontId="1" fillId="0" borderId="61" xfId="0" applyFont="1" applyBorder="1" applyAlignment="1">
      <alignment horizontal="center" wrapText="1"/>
    </xf>
    <xf numFmtId="165" fontId="0" fillId="6" borderId="9" xfId="0" applyNumberFormat="1" applyFill="1" applyBorder="1" applyAlignment="1">
      <alignment horizontal="center"/>
    </xf>
    <xf numFmtId="165" fontId="0" fillId="6" borderId="24" xfId="0" applyNumberFormat="1" applyFill="1" applyBorder="1" applyAlignment="1">
      <alignment horizontal="center"/>
    </xf>
    <xf numFmtId="165" fontId="0" fillId="6" borderId="30" xfId="0" applyNumberFormat="1" applyFill="1" applyBorder="1" applyAlignment="1">
      <alignment horizontal="center"/>
    </xf>
    <xf numFmtId="0" fontId="0" fillId="9" borderId="9" xfId="0" applyFill="1" applyBorder="1" applyAlignment="1">
      <alignment horizontal="left" indent="2"/>
    </xf>
    <xf numFmtId="0" fontId="0" fillId="9" borderId="30" xfId="0" applyFill="1" applyBorder="1" applyAlignment="1">
      <alignment horizontal="left" indent="2"/>
    </xf>
    <xf numFmtId="0" fontId="0" fillId="0" borderId="0" xfId="0" applyProtection="1">
      <protection hidden="1"/>
    </xf>
    <xf numFmtId="0" fontId="7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 textRotation="255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horizontal="center" vertical="center" textRotation="255"/>
      <protection hidden="1"/>
    </xf>
    <xf numFmtId="0" fontId="0" fillId="5" borderId="0" xfId="0" applyFont="1" applyFill="1" applyAlignment="1" applyProtection="1">
      <alignment horizontal="center" vertical="center"/>
      <protection hidden="1"/>
    </xf>
    <xf numFmtId="0" fontId="0" fillId="5" borderId="0" xfId="0" applyFill="1" applyProtection="1">
      <protection hidden="1"/>
    </xf>
    <xf numFmtId="0" fontId="11" fillId="5" borderId="0" xfId="0" applyFont="1" applyFill="1" applyAlignment="1" applyProtection="1">
      <alignment horizontal="center" vertical="center"/>
      <protection hidden="1"/>
    </xf>
    <xf numFmtId="0" fontId="0" fillId="0" borderId="0" xfId="0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3" fillId="6" borderId="4" xfId="0" applyFont="1" applyFill="1" applyBorder="1" applyAlignment="1" applyProtection="1">
      <alignment horizontal="center" vertical="center"/>
      <protection hidden="1"/>
    </xf>
    <xf numFmtId="0" fontId="13" fillId="6" borderId="5" xfId="0" applyFont="1" applyFill="1" applyBorder="1" applyAlignment="1" applyProtection="1">
      <alignment horizontal="center" vertical="center"/>
      <protection hidden="1"/>
    </xf>
    <xf numFmtId="0" fontId="13" fillId="6" borderId="6" xfId="0" applyFont="1" applyFill="1" applyBorder="1" applyAlignment="1" applyProtection="1">
      <alignment horizontal="center" vertical="center"/>
      <protection hidden="1"/>
    </xf>
    <xf numFmtId="0" fontId="8" fillId="6" borderId="4" xfId="0" applyFont="1" applyFill="1" applyBorder="1" applyAlignment="1" applyProtection="1">
      <alignment horizontal="center" vertical="center"/>
      <protection hidden="1"/>
    </xf>
    <xf numFmtId="0" fontId="8" fillId="6" borderId="5" xfId="0" applyFont="1" applyFill="1" applyBorder="1" applyAlignment="1" applyProtection="1">
      <alignment horizontal="center" vertical="center"/>
      <protection hidden="1"/>
    </xf>
    <xf numFmtId="0" fontId="8" fillId="6" borderId="6" xfId="0" applyFont="1" applyFill="1" applyBorder="1" applyAlignment="1" applyProtection="1">
      <alignment horizontal="center" vertical="center"/>
      <protection hidden="1"/>
    </xf>
    <xf numFmtId="0" fontId="1" fillId="0" borderId="55" xfId="0" applyFont="1" applyBorder="1" applyAlignment="1" applyProtection="1">
      <alignment horizontal="center"/>
      <protection hidden="1"/>
    </xf>
    <xf numFmtId="0" fontId="1" fillId="0" borderId="53" xfId="0" applyFont="1" applyBorder="1" applyAlignment="1" applyProtection="1">
      <alignment horizontal="center"/>
      <protection hidden="1"/>
    </xf>
    <xf numFmtId="0" fontId="12" fillId="0" borderId="7" xfId="0" applyFont="1" applyFill="1" applyBorder="1" applyAlignment="1" applyProtection="1">
      <alignment horizontal="center" vertical="center"/>
      <protection hidden="1"/>
    </xf>
    <xf numFmtId="0" fontId="12" fillId="0" borderId="1" xfId="0" applyFont="1" applyFill="1" applyBorder="1" applyAlignment="1" applyProtection="1">
      <alignment horizontal="center" vertical="center"/>
      <protection locked="0" hidden="1"/>
    </xf>
    <xf numFmtId="0" fontId="12" fillId="0" borderId="2" xfId="0" applyFont="1" applyFill="1" applyBorder="1" applyAlignment="1" applyProtection="1">
      <alignment horizontal="center" vertical="center"/>
      <protection locked="0" hidden="1"/>
    </xf>
    <xf numFmtId="0" fontId="12" fillId="0" borderId="3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Alignment="1" applyProtection="1">
      <alignment horizontal="center" vertical="center"/>
      <protection hidden="1"/>
    </xf>
    <xf numFmtId="0" fontId="12" fillId="0" borderId="0" xfId="0" applyFont="1" applyFill="1" applyProtection="1">
      <protection hidden="1"/>
    </xf>
    <xf numFmtId="0" fontId="12" fillId="0" borderId="0" xfId="0" applyFont="1" applyFill="1" applyAlignment="1" applyProtection="1">
      <alignment horizontal="center" vertical="center"/>
      <protection hidden="1"/>
    </xf>
    <xf numFmtId="0" fontId="0" fillId="0" borderId="52" xfId="0" applyBorder="1" applyAlignment="1" applyProtection="1">
      <alignment horizontal="center" vertical="center"/>
      <protection hidden="1"/>
    </xf>
    <xf numFmtId="0" fontId="0" fillId="0" borderId="51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2" fillId="0" borderId="8" xfId="0" applyFont="1" applyFill="1" applyBorder="1" applyAlignment="1" applyProtection="1">
      <alignment horizontal="center" vertical="center"/>
      <protection hidden="1"/>
    </xf>
    <xf numFmtId="0" fontId="12" fillId="0" borderId="4" xfId="0" applyFont="1" applyFill="1" applyBorder="1" applyAlignment="1" applyProtection="1">
      <alignment horizontal="center" vertical="center"/>
      <protection locked="0" hidden="1"/>
    </xf>
    <xf numFmtId="0" fontId="12" fillId="0" borderId="5" xfId="0" applyFont="1" applyFill="1" applyBorder="1" applyAlignment="1" applyProtection="1">
      <alignment horizontal="center" vertical="center"/>
      <protection locked="0" hidden="1"/>
    </xf>
    <xf numFmtId="0" fontId="12" fillId="0" borderId="6" xfId="0" applyFont="1" applyFill="1" applyBorder="1" applyAlignment="1" applyProtection="1">
      <alignment horizontal="center" vertical="center"/>
      <protection locked="0" hidden="1"/>
    </xf>
    <xf numFmtId="0" fontId="17" fillId="0" borderId="0" xfId="0" applyFont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1" fillId="6" borderId="43" xfId="0" applyFont="1" applyFill="1" applyBorder="1" applyAlignment="1" applyProtection="1">
      <alignment horizontal="center" vertical="center"/>
      <protection hidden="1"/>
    </xf>
    <xf numFmtId="0" fontId="1" fillId="6" borderId="45" xfId="0" applyFont="1" applyFill="1" applyBorder="1" applyAlignment="1" applyProtection="1">
      <alignment horizontal="center" vertical="center"/>
      <protection hidden="1"/>
    </xf>
    <xf numFmtId="0" fontId="1" fillId="6" borderId="42" xfId="0" applyFont="1" applyFill="1" applyBorder="1" applyAlignment="1" applyProtection="1">
      <alignment horizontal="center" vertical="center"/>
      <protection hidden="1"/>
    </xf>
    <xf numFmtId="0" fontId="1" fillId="6" borderId="63" xfId="0" applyFont="1" applyFill="1" applyBorder="1" applyAlignment="1" applyProtection="1">
      <alignment horizontal="center" vertical="center"/>
      <protection hidden="1"/>
    </xf>
    <xf numFmtId="0" fontId="1" fillId="6" borderId="40" xfId="0" applyFont="1" applyFill="1" applyBorder="1" applyAlignment="1" applyProtection="1">
      <alignment horizontal="center" vertical="center"/>
      <protection hidden="1"/>
    </xf>
    <xf numFmtId="0" fontId="1" fillId="6" borderId="48" xfId="0" applyFont="1" applyFill="1" applyBorder="1" applyAlignment="1" applyProtection="1">
      <alignment horizontal="center" vertical="center"/>
      <protection hidden="1"/>
    </xf>
    <xf numFmtId="0" fontId="4" fillId="3" borderId="32" xfId="0" applyFont="1" applyFill="1" applyBorder="1" applyAlignment="1" applyProtection="1">
      <alignment horizontal="center" vertical="center"/>
      <protection hidden="1"/>
    </xf>
    <xf numFmtId="0" fontId="4" fillId="3" borderId="25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28" xfId="0" applyFont="1" applyFill="1" applyBorder="1" applyAlignment="1" applyProtection="1">
      <alignment horizontal="center" vertical="center"/>
      <protection hidden="1"/>
    </xf>
    <xf numFmtId="0" fontId="4" fillId="3" borderId="62" xfId="0" applyFont="1" applyFill="1" applyBorder="1" applyAlignment="1" applyProtection="1">
      <alignment horizontal="center" vertical="center"/>
      <protection hidden="1"/>
    </xf>
    <xf numFmtId="0" fontId="4" fillId="4" borderId="31" xfId="0" applyFont="1" applyFill="1" applyBorder="1" applyAlignment="1" applyProtection="1">
      <alignment horizontal="center" vertical="center"/>
      <protection hidden="1"/>
    </xf>
    <xf numFmtId="0" fontId="4" fillId="4" borderId="13" xfId="0" applyFont="1" applyFill="1" applyBorder="1" applyAlignment="1" applyProtection="1">
      <alignment horizontal="center" vertical="center"/>
      <protection hidden="1"/>
    </xf>
    <xf numFmtId="0" fontId="4" fillId="4" borderId="16" xfId="0" applyFont="1" applyFill="1" applyBorder="1" applyAlignment="1" applyProtection="1">
      <alignment horizontal="center" vertical="center"/>
      <protection hidden="1"/>
    </xf>
    <xf numFmtId="0" fontId="4" fillId="4" borderId="14" xfId="0" applyFont="1" applyFill="1" applyBorder="1" applyAlignment="1" applyProtection="1">
      <alignment horizontal="center" vertical="center"/>
      <protection hidden="1"/>
    </xf>
    <xf numFmtId="0" fontId="4" fillId="4" borderId="19" xfId="0" applyFont="1" applyFill="1" applyBorder="1" applyAlignment="1" applyProtection="1">
      <alignment horizontal="center" vertical="center"/>
      <protection hidden="1"/>
    </xf>
    <xf numFmtId="0" fontId="4" fillId="3" borderId="31" xfId="0" applyFont="1" applyFill="1" applyBorder="1" applyAlignment="1" applyProtection="1">
      <alignment horizontal="center" vertical="center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6" xfId="0" applyFont="1" applyFill="1" applyBorder="1" applyAlignment="1" applyProtection="1">
      <alignment horizontal="center" vertical="center"/>
      <protection hidden="1"/>
    </xf>
    <xf numFmtId="0" fontId="4" fillId="3" borderId="14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 indent="2"/>
      <protection hidden="1"/>
    </xf>
    <xf numFmtId="0" fontId="0" fillId="0" borderId="0" xfId="0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0" fillId="0" borderId="67" xfId="0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0" fillId="9" borderId="9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0" borderId="54" xfId="0" applyFont="1" applyBorder="1" applyAlignment="1" applyProtection="1">
      <alignment horizontal="center"/>
      <protection hidden="1"/>
    </xf>
    <xf numFmtId="0" fontId="0" fillId="0" borderId="74" xfId="0" applyBorder="1" applyAlignment="1" applyProtection="1">
      <alignment horizontal="center" vertical="center"/>
      <protection hidden="1"/>
    </xf>
    <xf numFmtId="0" fontId="19" fillId="3" borderId="25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/>
      <protection hidden="1"/>
    </xf>
    <xf numFmtId="0" fontId="19" fillId="3" borderId="13" xfId="0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>
      <alignment horizontal="left" indent="2"/>
    </xf>
    <xf numFmtId="0" fontId="0" fillId="9" borderId="3" xfId="0" applyFill="1" applyBorder="1" applyAlignment="1">
      <alignment horizontal="left" indent="2"/>
    </xf>
    <xf numFmtId="0" fontId="0" fillId="9" borderId="13" xfId="0" applyFill="1" applyBorder="1" applyAlignment="1">
      <alignment horizontal="left" indent="2"/>
    </xf>
    <xf numFmtId="0" fontId="0" fillId="9" borderId="14" xfId="0" applyFill="1" applyBorder="1" applyAlignment="1">
      <alignment horizontal="left" indent="2"/>
    </xf>
    <xf numFmtId="0" fontId="0" fillId="9" borderId="4" xfId="0" applyFill="1" applyBorder="1" applyAlignment="1">
      <alignment horizontal="left" indent="2"/>
    </xf>
    <xf numFmtId="0" fontId="0" fillId="9" borderId="6" xfId="0" applyFill="1" applyBorder="1" applyAlignment="1">
      <alignment horizontal="left" indent="2"/>
    </xf>
    <xf numFmtId="0" fontId="1" fillId="6" borderId="70" xfId="0" applyFont="1" applyFill="1" applyBorder="1" applyAlignment="1">
      <alignment horizontal="center" vertical="center"/>
    </xf>
    <xf numFmtId="0" fontId="1" fillId="6" borderId="72" xfId="0" applyFont="1" applyFill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 textRotation="255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0" fillId="0" borderId="74" xfId="0" applyBorder="1" applyAlignment="1" applyProtection="1">
      <alignment horizontal="center" vertical="center"/>
      <protection hidden="1"/>
    </xf>
    <xf numFmtId="0" fontId="0" fillId="0" borderId="67" xfId="0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0" fillId="6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164" fontId="0" fillId="0" borderId="76" xfId="0" applyNumberFormat="1" applyBorder="1" applyAlignment="1">
      <alignment horizontal="center"/>
    </xf>
    <xf numFmtId="164" fontId="0" fillId="6" borderId="77" xfId="0" applyNumberFormat="1" applyFill="1" applyBorder="1" applyAlignment="1">
      <alignment horizontal="center"/>
    </xf>
    <xf numFmtId="165" fontId="0" fillId="6" borderId="22" xfId="0" applyNumberFormat="1" applyFill="1" applyBorder="1" applyAlignment="1">
      <alignment horizontal="center"/>
    </xf>
    <xf numFmtId="165" fontId="0" fillId="6" borderId="33" xfId="0" applyNumberFormat="1" applyFill="1" applyBorder="1" applyAlignment="1">
      <alignment horizontal="center"/>
    </xf>
    <xf numFmtId="0" fontId="2" fillId="0" borderId="0" xfId="0" applyFont="1" applyBorder="1" applyAlignment="1" applyProtection="1">
      <alignment horizontal="center" vertical="center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center" wrapText="1"/>
      <protection hidden="1"/>
    </xf>
    <xf numFmtId="0" fontId="0" fillId="0" borderId="67" xfId="0" applyBorder="1" applyAlignment="1" applyProtection="1">
      <alignment horizontal="center" vertical="center"/>
      <protection hidden="1"/>
    </xf>
    <xf numFmtId="0" fontId="1" fillId="0" borderId="74" xfId="0" applyFont="1" applyBorder="1" applyAlignment="1" applyProtection="1">
      <alignment horizontal="center" vertical="center"/>
      <protection hidden="1"/>
    </xf>
    <xf numFmtId="0" fontId="1" fillId="0" borderId="75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51" xfId="0" applyFont="1" applyBorder="1" applyAlignment="1" applyProtection="1">
      <alignment horizontal="center" vertical="center"/>
      <protection hidden="1"/>
    </xf>
    <xf numFmtId="0" fontId="1" fillId="6" borderId="22" xfId="0" applyFont="1" applyFill="1" applyBorder="1" applyAlignment="1" applyProtection="1">
      <alignment horizontal="center" vertical="center" wrapText="1"/>
      <protection hidden="1"/>
    </xf>
    <xf numFmtId="0" fontId="1" fillId="6" borderId="30" xfId="0" applyFont="1" applyFill="1" applyBorder="1" applyAlignment="1" applyProtection="1">
      <alignment horizontal="center" vertical="center" wrapText="1"/>
      <protection hidden="1"/>
    </xf>
    <xf numFmtId="0" fontId="20" fillId="0" borderId="0" xfId="0" applyFont="1" applyAlignment="1" applyProtection="1">
      <alignment horizontal="center" vertical="center" wrapText="1"/>
      <protection hidden="1"/>
    </xf>
    <xf numFmtId="0" fontId="9" fillId="11" borderId="0" xfId="0" applyFont="1" applyFill="1" applyBorder="1" applyAlignment="1" applyProtection="1">
      <alignment horizontal="center" vertical="center"/>
      <protection hidden="1"/>
    </xf>
    <xf numFmtId="0" fontId="9" fillId="11" borderId="11" xfId="0" applyFont="1" applyFill="1" applyBorder="1" applyAlignment="1" applyProtection="1">
      <alignment horizontal="center" vertical="center"/>
      <protection hidden="1"/>
    </xf>
    <xf numFmtId="0" fontId="8" fillId="6" borderId="9" xfId="0" applyFont="1" applyFill="1" applyBorder="1" applyAlignment="1" applyProtection="1">
      <alignment horizontal="center" vertical="center"/>
      <protection hidden="1"/>
    </xf>
    <xf numFmtId="0" fontId="8" fillId="6" borderId="10" xfId="0" applyFont="1" applyFill="1" applyBorder="1" applyAlignment="1" applyProtection="1">
      <alignment horizontal="center" vertical="center"/>
      <protection hidden="1"/>
    </xf>
    <xf numFmtId="0" fontId="8" fillId="6" borderId="1" xfId="0" applyFont="1" applyFill="1" applyBorder="1" applyAlignment="1" applyProtection="1">
      <alignment horizontal="center" vertical="center"/>
      <protection hidden="1"/>
    </xf>
    <xf numFmtId="0" fontId="8" fillId="6" borderId="2" xfId="0" applyFont="1" applyFill="1" applyBorder="1" applyAlignment="1" applyProtection="1">
      <alignment horizontal="center" vertical="center"/>
      <protection hidden="1"/>
    </xf>
    <xf numFmtId="0" fontId="8" fillId="6" borderId="3" xfId="0" applyFont="1" applyFill="1" applyBorder="1" applyAlignment="1" applyProtection="1">
      <alignment horizontal="center" vertical="center"/>
      <protection hidden="1"/>
    </xf>
    <xf numFmtId="0" fontId="0" fillId="0" borderId="74" xfId="0" applyBorder="1" applyAlignment="1" applyProtection="1">
      <alignment horizontal="center" vertical="center"/>
      <protection hidden="1"/>
    </xf>
    <xf numFmtId="0" fontId="9" fillId="10" borderId="0" xfId="0" applyFont="1" applyFill="1" applyBorder="1" applyAlignment="1" applyProtection="1">
      <alignment horizontal="center" vertical="center"/>
      <protection hidden="1"/>
    </xf>
    <xf numFmtId="0" fontId="1" fillId="0" borderId="52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 textRotation="255"/>
      <protection hidden="1"/>
    </xf>
    <xf numFmtId="0" fontId="13" fillId="6" borderId="9" xfId="0" applyFont="1" applyFill="1" applyBorder="1" applyAlignment="1" applyProtection="1">
      <alignment horizontal="center" vertical="center"/>
      <protection hidden="1"/>
    </xf>
    <xf numFmtId="0" fontId="13" fillId="6" borderId="10" xfId="0" applyFont="1" applyFill="1" applyBorder="1" applyAlignment="1" applyProtection="1">
      <alignment horizontal="center" vertical="center"/>
      <protection hidden="1"/>
    </xf>
    <xf numFmtId="0" fontId="13" fillId="6" borderId="1" xfId="0" applyFont="1" applyFill="1" applyBorder="1" applyAlignment="1" applyProtection="1">
      <alignment horizontal="center" vertical="center"/>
      <protection hidden="1"/>
    </xf>
    <xf numFmtId="0" fontId="13" fillId="6" borderId="2" xfId="0" applyFont="1" applyFill="1" applyBorder="1" applyAlignment="1" applyProtection="1">
      <alignment horizontal="center" vertical="center"/>
      <protection hidden="1"/>
    </xf>
    <xf numFmtId="0" fontId="13" fillId="6" borderId="3" xfId="0" applyFont="1" applyFill="1" applyBorder="1" applyAlignment="1" applyProtection="1">
      <alignment horizontal="center" vertical="center"/>
      <protection hidden="1"/>
    </xf>
    <xf numFmtId="0" fontId="9" fillId="10" borderId="11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1" fillId="6" borderId="65" xfId="0" applyFont="1" applyFill="1" applyBorder="1" applyAlignment="1" applyProtection="1">
      <alignment horizontal="center" vertical="center"/>
      <protection hidden="1"/>
    </xf>
    <xf numFmtId="0" fontId="1" fillId="6" borderId="66" xfId="0" applyFont="1" applyFill="1" applyBorder="1" applyAlignment="1" applyProtection="1">
      <alignment horizontal="center" vertical="center"/>
      <protection hidden="1"/>
    </xf>
    <xf numFmtId="0" fontId="1" fillId="6" borderId="64" xfId="0" applyFont="1" applyFill="1" applyBorder="1" applyAlignment="1" applyProtection="1">
      <alignment horizontal="center" vertical="center"/>
      <protection hidden="1"/>
    </xf>
    <xf numFmtId="0" fontId="9" fillId="12" borderId="0" xfId="0" applyFont="1" applyFill="1" applyBorder="1" applyAlignment="1" applyProtection="1">
      <alignment horizontal="center" vertical="center"/>
      <protection locked="0" hidden="1"/>
    </xf>
    <xf numFmtId="0" fontId="9" fillId="12" borderId="11" xfId="0" applyFont="1" applyFill="1" applyBorder="1" applyAlignment="1" applyProtection="1">
      <alignment horizontal="center" vertical="center"/>
      <protection locked="0" hidden="1"/>
    </xf>
    <xf numFmtId="0" fontId="9" fillId="7" borderId="0" xfId="0" applyFont="1" applyFill="1" applyBorder="1" applyAlignment="1" applyProtection="1">
      <alignment horizontal="center" vertical="center"/>
      <protection locked="0" hidden="1"/>
    </xf>
    <xf numFmtId="0" fontId="9" fillId="7" borderId="11" xfId="0" applyFont="1" applyFill="1" applyBorder="1" applyAlignment="1" applyProtection="1">
      <alignment horizontal="center" vertical="center"/>
      <protection locked="0" hidden="1"/>
    </xf>
    <xf numFmtId="0" fontId="16" fillId="0" borderId="0" xfId="0" applyFont="1" applyAlignment="1" applyProtection="1">
      <alignment horizontal="center" vertical="center" textRotation="255"/>
      <protection hidden="1"/>
    </xf>
    <xf numFmtId="0" fontId="6" fillId="12" borderId="0" xfId="0" applyFont="1" applyFill="1" applyAlignment="1" applyProtection="1">
      <alignment horizontal="center" vertical="center"/>
      <protection locked="0" hidden="1"/>
    </xf>
    <xf numFmtId="0" fontId="14" fillId="0" borderId="0" xfId="0" applyFont="1" applyAlignment="1" applyProtection="1">
      <alignment horizontal="left" vertical="center" indent="3"/>
      <protection locked="0" hidden="1"/>
    </xf>
    <xf numFmtId="0" fontId="6" fillId="7" borderId="0" xfId="0" applyFont="1" applyFill="1" applyAlignment="1" applyProtection="1">
      <alignment horizontal="center" vertical="center"/>
      <protection locked="0" hidden="1"/>
    </xf>
    <xf numFmtId="0" fontId="4" fillId="3" borderId="18" xfId="0" applyFont="1" applyFill="1" applyBorder="1" applyAlignment="1" applyProtection="1">
      <alignment horizontal="left" vertical="center" indent="2"/>
      <protection hidden="1"/>
    </xf>
    <xf numFmtId="0" fontId="4" fillId="3" borderId="3" xfId="0" applyFont="1" applyFill="1" applyBorder="1" applyAlignment="1" applyProtection="1">
      <alignment horizontal="left" vertical="center" indent="2"/>
      <protection hidden="1"/>
    </xf>
    <xf numFmtId="0" fontId="4" fillId="4" borderId="19" xfId="0" applyFont="1" applyFill="1" applyBorder="1" applyAlignment="1" applyProtection="1">
      <alignment horizontal="left" vertical="center" indent="2"/>
      <protection hidden="1"/>
    </xf>
    <xf numFmtId="0" fontId="4" fillId="4" borderId="14" xfId="0" applyFont="1" applyFill="1" applyBorder="1" applyAlignment="1" applyProtection="1">
      <alignment horizontal="left" vertical="center" indent="2"/>
      <protection hidden="1"/>
    </xf>
    <xf numFmtId="0" fontId="4" fillId="3" borderId="19" xfId="0" applyFont="1" applyFill="1" applyBorder="1" applyAlignment="1" applyProtection="1">
      <alignment horizontal="left" vertical="center" indent="2"/>
      <protection hidden="1"/>
    </xf>
    <xf numFmtId="0" fontId="4" fillId="3" borderId="14" xfId="0" applyFont="1" applyFill="1" applyBorder="1" applyAlignment="1" applyProtection="1">
      <alignment horizontal="left" vertical="center" indent="2"/>
      <protection hidden="1"/>
    </xf>
    <xf numFmtId="0" fontId="9" fillId="0" borderId="0" xfId="0" applyFont="1" applyAlignment="1" applyProtection="1">
      <alignment horizontal="center" vertical="center" textRotation="255"/>
      <protection hidden="1"/>
    </xf>
    <xf numFmtId="0" fontId="6" fillId="12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hidden="1"/>
    </xf>
    <xf numFmtId="0" fontId="1" fillId="6" borderId="2" xfId="0" applyFont="1" applyFill="1" applyBorder="1" applyAlignment="1" applyProtection="1">
      <alignment horizontal="center" vertical="center"/>
      <protection hidden="1"/>
    </xf>
    <xf numFmtId="0" fontId="1" fillId="6" borderId="15" xfId="0" applyFont="1" applyFill="1" applyBorder="1" applyAlignment="1" applyProtection="1">
      <alignment horizontal="center" vertical="center"/>
      <protection hidden="1"/>
    </xf>
    <xf numFmtId="0" fontId="1" fillId="6" borderId="4" xfId="0" applyFont="1" applyFill="1" applyBorder="1" applyAlignment="1" applyProtection="1">
      <alignment horizontal="center" vertical="center"/>
      <protection hidden="1"/>
    </xf>
    <xf numFmtId="0" fontId="1" fillId="6" borderId="5" xfId="0" applyFont="1" applyFill="1" applyBorder="1" applyAlignment="1" applyProtection="1">
      <alignment horizontal="center" vertical="center"/>
      <protection hidden="1"/>
    </xf>
    <xf numFmtId="0" fontId="1" fillId="6" borderId="17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9" fillId="8" borderId="0" xfId="0" applyFont="1" applyFill="1" applyBorder="1" applyAlignment="1" applyProtection="1">
      <alignment horizontal="center" vertical="center"/>
      <protection hidden="1"/>
    </xf>
    <xf numFmtId="0" fontId="1" fillId="0" borderId="67" xfId="0" applyFont="1" applyBorder="1" applyAlignment="1" applyProtection="1">
      <alignment horizontal="center" vertical="center"/>
      <protection hidden="1"/>
    </xf>
    <xf numFmtId="0" fontId="1" fillId="0" borderId="68" xfId="0" applyFont="1" applyBorder="1" applyAlignment="1" applyProtection="1">
      <alignment horizontal="center" vertical="center"/>
      <protection hidden="1"/>
    </xf>
    <xf numFmtId="0" fontId="9" fillId="2" borderId="0" xfId="0" applyFont="1" applyFill="1" applyBorder="1" applyAlignment="1" applyProtection="1">
      <alignment horizontal="center" vertical="center"/>
      <protection hidden="1"/>
    </xf>
    <xf numFmtId="0" fontId="1" fillId="6" borderId="71" xfId="0" applyFont="1" applyFill="1" applyBorder="1" applyAlignment="1">
      <alignment horizontal="center" vertical="center"/>
    </xf>
    <xf numFmtId="0" fontId="1" fillId="6" borderId="69" xfId="0" applyFont="1" applyFill="1" applyBorder="1" applyAlignment="1">
      <alignment horizontal="center" vertical="center"/>
    </xf>
    <xf numFmtId="0" fontId="1" fillId="6" borderId="73" xfId="0" applyFont="1" applyFill="1" applyBorder="1" applyAlignment="1">
      <alignment horizontal="center" vertical="center"/>
    </xf>
    <xf numFmtId="0" fontId="1" fillId="6" borderId="60" xfId="0" applyFont="1" applyFill="1" applyBorder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15" fillId="12" borderId="61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7" borderId="61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/>
    </xf>
    <xf numFmtId="0" fontId="1" fillId="6" borderId="41" xfId="0" applyFont="1" applyFill="1" applyBorder="1" applyAlignment="1">
      <alignment horizontal="center"/>
    </xf>
    <xf numFmtId="0" fontId="1" fillId="6" borderId="42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6" borderId="49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6" borderId="29" xfId="0" applyFont="1" applyFill="1" applyBorder="1" applyAlignment="1">
      <alignment horizontal="center" vertical="center" wrapText="1"/>
    </xf>
    <xf numFmtId="0" fontId="1" fillId="6" borderId="21" xfId="0" applyFont="1" applyFill="1" applyBorder="1" applyAlignment="1">
      <alignment horizontal="center" vertical="center" wrapText="1"/>
    </xf>
    <xf numFmtId="0" fontId="1" fillId="0" borderId="40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2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9" borderId="22" xfId="0" applyFont="1" applyFill="1" applyBorder="1" applyAlignment="1">
      <alignment horizontal="center" vertical="center" wrapText="1"/>
    </xf>
    <xf numFmtId="0" fontId="1" fillId="9" borderId="23" xfId="0" applyFont="1" applyFill="1" applyBorder="1" applyAlignment="1">
      <alignment horizontal="center" vertical="center" wrapText="1"/>
    </xf>
    <xf numFmtId="0" fontId="1" fillId="9" borderId="30" xfId="0" applyFont="1" applyFill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</cellXfs>
  <cellStyles count="1">
    <cellStyle name="Normal" xfId="0" builtinId="0"/>
  </cellStyles>
  <dxfs count="56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A5FF8"/>
      <color rgb="FFEB9FDD"/>
      <color rgb="FFEEFB47"/>
      <color rgb="FFDF67C8"/>
      <color rgb="FFB07BD7"/>
      <color rgb="FFEC7320"/>
      <color rgb="FFEF85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9525</xdr:rowOff>
        </xdr:from>
        <xdr:to>
          <xdr:col>14</xdr:col>
          <xdr:colOff>28575</xdr:colOff>
          <xdr:row>10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</a:t>
              </a:r>
            </a:p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J182"/>
  <sheetViews>
    <sheetView showGridLines="0" tabSelected="1" zoomScale="70" zoomScaleNormal="70" workbookViewId="0">
      <selection activeCell="K12" sqref="K12"/>
    </sheetView>
  </sheetViews>
  <sheetFormatPr baseColWidth="10" defaultColWidth="12.7109375" defaultRowHeight="24.75" customHeight="1" outlineLevelRow="1" x14ac:dyDescent="0.25"/>
  <cols>
    <col min="1" max="1" width="4.28515625" style="61" customWidth="1"/>
    <col min="2" max="2" width="10" style="61" customWidth="1"/>
    <col min="3" max="3" width="19.42578125" style="61" customWidth="1"/>
    <col min="4" max="4" width="9.7109375" style="61" bestFit="1" customWidth="1"/>
    <col min="5" max="5" width="25.7109375" style="61" customWidth="1"/>
    <col min="6" max="10" width="12.7109375" style="61" customWidth="1"/>
    <col min="11" max="16" width="10.7109375" style="61" customWidth="1"/>
    <col min="17" max="17" width="25.7109375" style="61" customWidth="1"/>
    <col min="18" max="23" width="12.7109375" style="61" customWidth="1"/>
    <col min="24" max="36" width="12.7109375" style="61" hidden="1" customWidth="1"/>
    <col min="37" max="38" width="12.7109375" style="61" customWidth="1"/>
    <col min="39" max="16384" width="12.7109375" style="61"/>
  </cols>
  <sheetData>
    <row r="1" spans="1:27" ht="15" x14ac:dyDescent="0.25"/>
    <row r="2" spans="1:27" ht="15" customHeight="1" x14ac:dyDescent="0.25">
      <c r="C2" s="195" t="s">
        <v>50</v>
      </c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  <c r="X2" s="62"/>
      <c r="Y2" s="62"/>
      <c r="Z2" s="62"/>
      <c r="AA2" s="62"/>
    </row>
    <row r="3" spans="1:27" ht="15" customHeight="1" x14ac:dyDescent="0.25">
      <c r="B3" s="62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62"/>
      <c r="Y3" s="62"/>
      <c r="Z3" s="62"/>
      <c r="AA3" s="62"/>
    </row>
    <row r="4" spans="1:27" ht="15" customHeight="1" x14ac:dyDescent="0.25">
      <c r="B4" s="62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62"/>
      <c r="Y4" s="62"/>
      <c r="Z4" s="62"/>
      <c r="AA4" s="62"/>
    </row>
    <row r="5" spans="1:27" ht="15" customHeight="1" x14ac:dyDescent="0.25">
      <c r="B5" s="62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133"/>
      <c r="P5" s="63"/>
      <c r="Q5" s="63"/>
      <c r="R5" s="63"/>
      <c r="S5" s="63"/>
      <c r="T5" s="63"/>
      <c r="U5" s="63"/>
      <c r="V5" s="63"/>
      <c r="W5" s="62"/>
      <c r="X5" s="62"/>
      <c r="Y5" s="62"/>
      <c r="Z5" s="62"/>
      <c r="AA5" s="62"/>
    </row>
    <row r="6" spans="1:27" ht="15" customHeight="1" x14ac:dyDescent="0.25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133"/>
      <c r="P6" s="63"/>
      <c r="Q6" s="63"/>
      <c r="R6" s="63"/>
      <c r="S6" s="63"/>
      <c r="T6" s="63"/>
      <c r="U6" s="63"/>
      <c r="V6" s="63"/>
      <c r="W6" s="62"/>
      <c r="X6" s="62"/>
      <c r="Y6" s="62"/>
      <c r="Z6" s="62"/>
      <c r="AA6" s="62"/>
    </row>
    <row r="7" spans="1:27" ht="24.75" customHeight="1" outlineLevel="1" x14ac:dyDescent="0.25">
      <c r="B7" s="63"/>
      <c r="C7" s="203" t="s">
        <v>25</v>
      </c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3"/>
      <c r="Y7" s="128"/>
      <c r="Z7" s="63"/>
      <c r="AA7" s="63"/>
    </row>
    <row r="8" spans="1:27" ht="24.75" customHeight="1" outlineLevel="1" x14ac:dyDescent="0.25">
      <c r="B8" s="63"/>
      <c r="C8" s="203"/>
      <c r="D8" s="65"/>
      <c r="E8" s="204" t="s">
        <v>48</v>
      </c>
      <c r="F8" s="204"/>
      <c r="G8" s="204"/>
      <c r="H8" s="204"/>
      <c r="J8" s="66"/>
      <c r="K8" s="66"/>
      <c r="L8" s="66"/>
      <c r="M8" s="66"/>
      <c r="N8" s="66"/>
      <c r="O8" s="66"/>
      <c r="P8" s="66"/>
      <c r="Q8" s="206" t="s">
        <v>49</v>
      </c>
      <c r="R8" s="206"/>
      <c r="S8" s="206"/>
      <c r="T8" s="206"/>
      <c r="V8" s="65"/>
      <c r="W8" s="65"/>
      <c r="X8" s="63"/>
      <c r="Y8" s="128"/>
      <c r="Z8" s="63"/>
      <c r="AA8" s="63"/>
    </row>
    <row r="9" spans="1:27" ht="24.75" customHeight="1" outlineLevel="1" x14ac:dyDescent="0.25">
      <c r="B9" s="63"/>
      <c r="C9" s="203"/>
      <c r="D9" s="65"/>
      <c r="E9" s="205" t="s">
        <v>47</v>
      </c>
      <c r="F9" s="205"/>
      <c r="G9" s="205"/>
      <c r="H9" s="205"/>
      <c r="J9" s="66"/>
      <c r="K9" s="66"/>
      <c r="L9" s="66"/>
      <c r="M9" s="66"/>
      <c r="N9" s="66"/>
      <c r="O9" s="66"/>
      <c r="P9" s="66"/>
      <c r="Q9" s="205" t="s">
        <v>53</v>
      </c>
      <c r="R9" s="205"/>
      <c r="S9" s="205"/>
      <c r="T9" s="205"/>
      <c r="V9" s="65"/>
      <c r="W9" s="65"/>
      <c r="X9" s="63"/>
      <c r="Y9" s="128"/>
      <c r="Z9" s="63"/>
      <c r="AA9" s="63"/>
    </row>
    <row r="10" spans="1:27" ht="24.75" customHeight="1" outlineLevel="1" x14ac:dyDescent="0.25">
      <c r="B10" s="63"/>
      <c r="C10" s="203"/>
      <c r="D10" s="65"/>
      <c r="E10" s="205" t="s">
        <v>51</v>
      </c>
      <c r="F10" s="205"/>
      <c r="G10" s="205"/>
      <c r="H10" s="205"/>
      <c r="J10" s="66"/>
      <c r="K10" s="66"/>
      <c r="L10" s="66"/>
      <c r="M10" s="66"/>
      <c r="N10" s="66"/>
      <c r="O10" s="66"/>
      <c r="P10" s="66"/>
      <c r="Q10" s="205" t="s">
        <v>54</v>
      </c>
      <c r="R10" s="205"/>
      <c r="S10" s="205"/>
      <c r="T10" s="205"/>
      <c r="V10" s="65"/>
      <c r="W10" s="65"/>
      <c r="X10" s="63"/>
      <c r="Y10" s="128"/>
      <c r="Z10" s="63"/>
      <c r="AA10" s="63"/>
    </row>
    <row r="11" spans="1:27" ht="24.75" customHeight="1" outlineLevel="1" x14ac:dyDescent="0.25">
      <c r="B11" s="63"/>
      <c r="C11" s="203"/>
      <c r="D11" s="65"/>
      <c r="E11" s="205" t="s">
        <v>52</v>
      </c>
      <c r="F11" s="205"/>
      <c r="G11" s="205"/>
      <c r="H11" s="205"/>
      <c r="J11" s="66"/>
      <c r="K11" s="66"/>
      <c r="L11" s="66"/>
      <c r="M11" s="66"/>
      <c r="N11" s="66"/>
      <c r="O11" s="66"/>
      <c r="P11" s="66"/>
      <c r="Q11" s="205" t="s">
        <v>55</v>
      </c>
      <c r="R11" s="205"/>
      <c r="S11" s="205"/>
      <c r="T11" s="205"/>
      <c r="V11" s="65"/>
      <c r="W11" s="65"/>
      <c r="X11" s="63"/>
      <c r="Y11" s="128"/>
      <c r="Z11" s="63"/>
      <c r="AA11" s="63"/>
    </row>
    <row r="12" spans="1:27" ht="24.75" customHeight="1" outlineLevel="1" x14ac:dyDescent="0.25">
      <c r="B12" s="63"/>
      <c r="C12" s="203"/>
      <c r="D12" s="65"/>
      <c r="E12" s="205"/>
      <c r="F12" s="205"/>
      <c r="G12" s="205"/>
      <c r="H12" s="205"/>
      <c r="J12" s="66"/>
      <c r="K12" s="66"/>
      <c r="L12" s="66"/>
      <c r="M12" s="66"/>
      <c r="N12" s="66"/>
      <c r="O12" s="66"/>
      <c r="P12" s="66"/>
      <c r="Q12" s="205"/>
      <c r="R12" s="205"/>
      <c r="S12" s="205"/>
      <c r="T12" s="205"/>
      <c r="V12" s="65"/>
      <c r="W12" s="65"/>
      <c r="X12" s="63"/>
      <c r="Y12" s="128"/>
      <c r="Z12" s="63"/>
      <c r="AA12" s="63"/>
    </row>
    <row r="13" spans="1:27" ht="24.75" customHeight="1" outlineLevel="1" x14ac:dyDescent="0.25">
      <c r="B13" s="63"/>
      <c r="C13" s="203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3"/>
      <c r="Y13" s="128"/>
      <c r="Z13" s="63"/>
      <c r="AA13" s="63"/>
    </row>
    <row r="14" spans="1:27" ht="15" customHeight="1" x14ac:dyDescent="0.25">
      <c r="B14" s="63"/>
      <c r="C14" s="67"/>
      <c r="D14" s="65"/>
      <c r="E14" s="65"/>
      <c r="P14" s="65"/>
      <c r="Q14" s="65"/>
      <c r="R14" s="68"/>
      <c r="S14" s="68"/>
      <c r="T14" s="68"/>
      <c r="U14" s="68"/>
      <c r="V14" s="68"/>
      <c r="W14" s="68"/>
      <c r="X14" s="63"/>
      <c r="Y14" s="128"/>
      <c r="Z14" s="63"/>
      <c r="AA14" s="63"/>
    </row>
    <row r="15" spans="1:27" ht="15" customHeight="1" x14ac:dyDescent="0.25">
      <c r="A15" s="69"/>
      <c r="B15" s="69"/>
      <c r="C15" s="69"/>
      <c r="D15" s="70"/>
      <c r="E15" s="70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0"/>
      <c r="Q15" s="70"/>
      <c r="R15" s="72"/>
      <c r="S15" s="72"/>
      <c r="T15" s="72"/>
      <c r="U15" s="72"/>
      <c r="V15" s="72"/>
      <c r="W15" s="72"/>
      <c r="X15" s="63"/>
      <c r="Y15" s="128"/>
      <c r="Z15" s="63"/>
      <c r="AA15" s="63"/>
    </row>
    <row r="16" spans="1:27" ht="15" customHeight="1" outlineLevel="1" x14ac:dyDescent="0.25">
      <c r="B16" s="63"/>
      <c r="C16" s="63"/>
      <c r="D16" s="65"/>
      <c r="E16" s="65"/>
      <c r="P16" s="65"/>
      <c r="Q16" s="65"/>
      <c r="R16" s="68"/>
      <c r="S16" s="68"/>
      <c r="T16" s="68"/>
      <c r="U16" s="68"/>
      <c r="V16" s="68"/>
      <c r="W16" s="68"/>
      <c r="X16" s="63"/>
      <c r="Y16" s="128"/>
      <c r="Z16" s="63"/>
      <c r="AA16" s="63"/>
    </row>
    <row r="17" spans="2:36" ht="19.5" customHeight="1" outlineLevel="1" x14ac:dyDescent="0.25">
      <c r="B17" s="63"/>
      <c r="C17" s="213" t="s">
        <v>56</v>
      </c>
      <c r="D17" s="65"/>
      <c r="E17" s="199" t="str">
        <f>E8</f>
        <v>GRUPO Z</v>
      </c>
      <c r="F17" s="199"/>
      <c r="G17" s="199"/>
      <c r="H17" s="199"/>
      <c r="I17" s="199"/>
      <c r="J17" s="199"/>
      <c r="K17" s="73"/>
      <c r="L17" s="73"/>
      <c r="M17" s="73"/>
      <c r="N17" s="73"/>
      <c r="O17" s="73"/>
      <c r="P17" s="74"/>
      <c r="Q17" s="201" t="str">
        <f>Q8</f>
        <v>GRUPO Y</v>
      </c>
      <c r="R17" s="201"/>
      <c r="S17" s="201"/>
      <c r="T17" s="201"/>
      <c r="U17" s="201"/>
      <c r="V17" s="201"/>
      <c r="W17" s="68"/>
      <c r="X17" s="223" t="s">
        <v>20</v>
      </c>
      <c r="Y17" s="223"/>
      <c r="Z17" s="223"/>
      <c r="AA17" s="223"/>
      <c r="AB17" s="223"/>
      <c r="AC17" s="223"/>
      <c r="AE17" s="226" t="s">
        <v>21</v>
      </c>
      <c r="AF17" s="226"/>
      <c r="AG17" s="226"/>
      <c r="AH17" s="226"/>
      <c r="AI17" s="226"/>
      <c r="AJ17" s="226"/>
    </row>
    <row r="18" spans="2:36" ht="19.5" customHeight="1" outlineLevel="1" thickBot="1" x14ac:dyDescent="0.3">
      <c r="B18" s="63"/>
      <c r="C18" s="213"/>
      <c r="D18" s="65"/>
      <c r="E18" s="200"/>
      <c r="F18" s="200"/>
      <c r="G18" s="200"/>
      <c r="H18" s="200"/>
      <c r="I18" s="200"/>
      <c r="J18" s="200"/>
      <c r="K18" s="73"/>
      <c r="L18" s="73"/>
      <c r="M18" s="73"/>
      <c r="N18" s="73"/>
      <c r="O18" s="73"/>
      <c r="P18" s="74"/>
      <c r="Q18" s="202"/>
      <c r="R18" s="202"/>
      <c r="S18" s="202"/>
      <c r="T18" s="202"/>
      <c r="U18" s="202"/>
      <c r="V18" s="202"/>
      <c r="W18" s="68"/>
      <c r="X18" s="223"/>
      <c r="Y18" s="223"/>
      <c r="Z18" s="223"/>
      <c r="AA18" s="223"/>
      <c r="AB18" s="223"/>
      <c r="AC18" s="223"/>
      <c r="AE18" s="226"/>
      <c r="AF18" s="226"/>
      <c r="AG18" s="226"/>
      <c r="AH18" s="226"/>
      <c r="AI18" s="226"/>
      <c r="AJ18" s="226"/>
    </row>
    <row r="19" spans="2:36" ht="19.5" customHeight="1" outlineLevel="1" thickBot="1" x14ac:dyDescent="0.3">
      <c r="B19" s="63"/>
      <c r="C19" s="213"/>
      <c r="D19" s="65"/>
      <c r="E19" s="65"/>
      <c r="P19" s="65"/>
      <c r="Q19" s="65"/>
      <c r="W19" s="68"/>
      <c r="X19" s="63"/>
      <c r="Y19" s="128"/>
      <c r="Z19" s="63"/>
      <c r="AA19" s="63"/>
    </row>
    <row r="20" spans="2:36" ht="20.100000000000001" customHeight="1" outlineLevel="1" x14ac:dyDescent="0.25">
      <c r="B20" s="63"/>
      <c r="C20" s="213"/>
      <c r="D20" s="65"/>
      <c r="E20" s="189" t="s">
        <v>10</v>
      </c>
      <c r="F20" s="191" t="s">
        <v>36</v>
      </c>
      <c r="G20" s="192"/>
      <c r="H20" s="192"/>
      <c r="I20" s="192"/>
      <c r="J20" s="193"/>
      <c r="K20" s="75"/>
      <c r="L20" s="75"/>
      <c r="M20" s="75"/>
      <c r="N20" s="75"/>
      <c r="O20" s="75"/>
      <c r="P20" s="76"/>
      <c r="Q20" s="180" t="s">
        <v>10</v>
      </c>
      <c r="R20" s="182" t="s">
        <v>36</v>
      </c>
      <c r="S20" s="183"/>
      <c r="T20" s="183"/>
      <c r="U20" s="183"/>
      <c r="V20" s="184"/>
      <c r="W20" s="68"/>
    </row>
    <row r="21" spans="2:36" ht="20.100000000000001" customHeight="1" outlineLevel="1" thickBot="1" x14ac:dyDescent="0.3">
      <c r="B21" s="63"/>
      <c r="C21" s="213"/>
      <c r="D21" s="65"/>
      <c r="E21" s="190"/>
      <c r="F21" s="77" t="s">
        <v>12</v>
      </c>
      <c r="G21" s="78" t="s">
        <v>13</v>
      </c>
      <c r="H21" s="78" t="s">
        <v>14</v>
      </c>
      <c r="I21" s="78" t="s">
        <v>15</v>
      </c>
      <c r="J21" s="79" t="s">
        <v>16</v>
      </c>
      <c r="K21" s="75"/>
      <c r="L21" s="75"/>
      <c r="M21" s="75"/>
      <c r="N21" s="75"/>
      <c r="O21" s="75"/>
      <c r="P21" s="76"/>
      <c r="Q21" s="181"/>
      <c r="R21" s="80" t="s">
        <v>12</v>
      </c>
      <c r="S21" s="81" t="s">
        <v>13</v>
      </c>
      <c r="T21" s="81" t="s">
        <v>14</v>
      </c>
      <c r="U21" s="81" t="s">
        <v>15</v>
      </c>
      <c r="V21" s="82" t="s">
        <v>16</v>
      </c>
      <c r="W21" s="63"/>
      <c r="X21" s="224" t="s">
        <v>27</v>
      </c>
      <c r="Y21" s="224" t="s">
        <v>41</v>
      </c>
      <c r="Z21" s="187" t="s">
        <v>2</v>
      </c>
      <c r="AA21" s="174"/>
      <c r="AB21" s="187" t="s">
        <v>26</v>
      </c>
      <c r="AC21" s="174"/>
      <c r="AE21" s="224" t="s">
        <v>27</v>
      </c>
      <c r="AF21" s="224" t="s">
        <v>41</v>
      </c>
      <c r="AG21" s="187" t="s">
        <v>2</v>
      </c>
      <c r="AH21" s="174"/>
      <c r="AI21" s="187" t="s">
        <v>26</v>
      </c>
      <c r="AJ21" s="174"/>
    </row>
    <row r="22" spans="2:36" ht="20.100000000000001" customHeight="1" outlineLevel="1" thickBot="1" x14ac:dyDescent="0.3">
      <c r="B22" s="63"/>
      <c r="C22" s="213"/>
      <c r="D22" s="65"/>
      <c r="E22" s="76"/>
      <c r="F22" s="76"/>
      <c r="G22" s="76"/>
      <c r="H22" s="76"/>
      <c r="I22" s="76"/>
      <c r="J22" s="76"/>
      <c r="K22" s="75"/>
      <c r="L22" s="75"/>
      <c r="M22" s="75"/>
      <c r="N22" s="75"/>
      <c r="O22" s="75"/>
      <c r="P22" s="76"/>
      <c r="Q22" s="76"/>
      <c r="R22" s="76"/>
      <c r="S22" s="76"/>
      <c r="T22" s="76"/>
      <c r="U22" s="76"/>
      <c r="V22" s="76"/>
      <c r="W22" s="63"/>
      <c r="X22" s="225"/>
      <c r="Y22" s="225"/>
      <c r="Z22" s="83" t="s">
        <v>28</v>
      </c>
      <c r="AA22" s="84" t="s">
        <v>29</v>
      </c>
      <c r="AB22" s="83" t="s">
        <v>28</v>
      </c>
      <c r="AC22" s="84" t="s">
        <v>29</v>
      </c>
      <c r="AE22" s="225"/>
      <c r="AF22" s="225"/>
      <c r="AG22" s="83" t="s">
        <v>28</v>
      </c>
      <c r="AH22" s="84" t="s">
        <v>29</v>
      </c>
      <c r="AI22" s="83" t="s">
        <v>28</v>
      </c>
      <c r="AJ22" s="84" t="s">
        <v>29</v>
      </c>
    </row>
    <row r="23" spans="2:36" ht="24.95" customHeight="1" outlineLevel="1" thickTop="1" x14ac:dyDescent="0.25">
      <c r="B23" s="63"/>
      <c r="C23" s="213"/>
      <c r="D23" s="222"/>
      <c r="E23" s="85" t="str">
        <f>E10</f>
        <v>MANOLO / JOSÉ</v>
      </c>
      <c r="F23" s="86">
        <v>6</v>
      </c>
      <c r="G23" s="87">
        <v>3</v>
      </c>
      <c r="H23" s="87">
        <v>6</v>
      </c>
      <c r="I23" s="87"/>
      <c r="J23" s="88"/>
      <c r="K23" s="89" t="str">
        <f>IF(X23="","",IF($X23=E23,"✓","✗"))</f>
        <v>✓</v>
      </c>
      <c r="L23" s="90"/>
      <c r="M23" s="90"/>
      <c r="N23" s="90"/>
      <c r="O23" s="90"/>
      <c r="P23" s="91"/>
      <c r="Q23" s="85" t="str">
        <f>Q10</f>
        <v>TOLEDO / JUAN</v>
      </c>
      <c r="R23" s="86">
        <v>6</v>
      </c>
      <c r="S23" s="87">
        <v>6</v>
      </c>
      <c r="T23" s="87"/>
      <c r="U23" s="87"/>
      <c r="V23" s="88"/>
      <c r="W23" s="89" t="str">
        <f>IF(AE23="","",IF($AE23=Q23,"✓","✗"))</f>
        <v>✓</v>
      </c>
      <c r="X23" s="170" t="str">
        <f>IF(F23="","",IF(Z23&gt;Z24,E23,E24))</f>
        <v>MANOLO / JOSÉ</v>
      </c>
      <c r="Y23" s="170" t="str">
        <f>IF(F23="","",IF(Z23&lt;Z24,E23,E24))</f>
        <v>CARLOS / QUINTANA</v>
      </c>
      <c r="Z23" s="92">
        <f>(F23&gt;F24)+(G23&gt;G24)+(H23&gt;H24)+(I23&gt;I24)+(J23&gt;J24)</f>
        <v>2</v>
      </c>
      <c r="AA23" s="93">
        <f>Z24</f>
        <v>1</v>
      </c>
      <c r="AB23" s="92">
        <f t="shared" ref="AB23:AB30" si="0">IF(E23="","",SUM(F23:J23))</f>
        <v>15</v>
      </c>
      <c r="AC23" s="93">
        <f>AB24</f>
        <v>12</v>
      </c>
      <c r="AD23" s="94"/>
      <c r="AE23" s="170" t="str">
        <f>IF(R23="","",IF(AG23&gt;AG24,Q23,Q24))</f>
        <v>TOLEDO / JUAN</v>
      </c>
      <c r="AF23" s="170" t="str">
        <f>IF(R23="","",IF(AG23&lt;AG24,Q23,Q24))</f>
        <v>JAIME / CAPÓN</v>
      </c>
      <c r="AG23" s="92">
        <f>(R23&gt;R24)+(S23&gt;S24)+(T23&gt;T24)+(U23&gt;U24)+(V23&gt;V24)</f>
        <v>2</v>
      </c>
      <c r="AH23" s="93">
        <f>AG24</f>
        <v>0</v>
      </c>
      <c r="AI23" s="92">
        <f t="shared" ref="AI23:AI30" si="1">IF(Q23="","",SUM(R23:V23))</f>
        <v>12</v>
      </c>
      <c r="AJ23" s="93">
        <f>AI24</f>
        <v>6</v>
      </c>
    </row>
    <row r="24" spans="2:36" ht="24.95" customHeight="1" outlineLevel="1" thickBot="1" x14ac:dyDescent="0.3">
      <c r="B24" s="63"/>
      <c r="C24" s="213"/>
      <c r="D24" s="222"/>
      <c r="E24" s="95" t="str">
        <f>E11</f>
        <v>CARLOS / QUINTANA</v>
      </c>
      <c r="F24" s="96">
        <v>3</v>
      </c>
      <c r="G24" s="97">
        <v>6</v>
      </c>
      <c r="H24" s="97">
        <v>3</v>
      </c>
      <c r="I24" s="97"/>
      <c r="J24" s="98"/>
      <c r="K24" s="89" t="str">
        <f>IF(X23="","",IF($X23=E24,"✓","✗"))</f>
        <v>✗</v>
      </c>
      <c r="L24" s="90"/>
      <c r="M24" s="90"/>
      <c r="N24" s="90"/>
      <c r="O24" s="90"/>
      <c r="P24" s="91"/>
      <c r="Q24" s="95" t="str">
        <f>Q9</f>
        <v>JAIME / CAPÓN</v>
      </c>
      <c r="R24" s="96">
        <v>2</v>
      </c>
      <c r="S24" s="97">
        <v>4</v>
      </c>
      <c r="T24" s="97"/>
      <c r="U24" s="97"/>
      <c r="V24" s="98"/>
      <c r="W24" s="89" t="str">
        <f>IF(AE23="","",IF($AE23=Q24,"✓","✗"))</f>
        <v>✗</v>
      </c>
      <c r="X24" s="170"/>
      <c r="Y24" s="170"/>
      <c r="Z24" s="92">
        <f>(F23&lt;F24)+(G23&lt;G24)+(H23&lt;H24)+(I23&lt;I24)+(J23&lt;J24)</f>
        <v>1</v>
      </c>
      <c r="AA24" s="93">
        <f>Z23</f>
        <v>2</v>
      </c>
      <c r="AB24" s="92">
        <f t="shared" si="0"/>
        <v>12</v>
      </c>
      <c r="AC24" s="93">
        <f>AB23</f>
        <v>15</v>
      </c>
      <c r="AD24" s="94"/>
      <c r="AE24" s="170"/>
      <c r="AF24" s="170"/>
      <c r="AG24" s="92">
        <f>(R23&lt;R24)+(S23&lt;S24)+(T23&lt;T24)+(U23&lt;U24)+(V23&lt;V24)</f>
        <v>0</v>
      </c>
      <c r="AH24" s="93">
        <f>AG23</f>
        <v>2</v>
      </c>
      <c r="AI24" s="92">
        <f t="shared" si="1"/>
        <v>6</v>
      </c>
      <c r="AJ24" s="93">
        <f>AI23</f>
        <v>12</v>
      </c>
    </row>
    <row r="25" spans="2:36" ht="24.95" customHeight="1" outlineLevel="1" thickBot="1" x14ac:dyDescent="0.3">
      <c r="B25" s="63"/>
      <c r="C25" s="213"/>
      <c r="D25" s="99"/>
      <c r="E25" s="63"/>
      <c r="F25" s="100"/>
      <c r="G25" s="100"/>
      <c r="H25" s="100"/>
      <c r="I25" s="100"/>
      <c r="J25" s="100"/>
      <c r="K25" s="63"/>
      <c r="L25" s="63"/>
      <c r="M25" s="63"/>
      <c r="N25" s="63"/>
      <c r="O25" s="133"/>
      <c r="P25" s="63"/>
      <c r="Q25" s="63"/>
      <c r="R25" s="100"/>
      <c r="S25" s="100"/>
      <c r="T25" s="100"/>
      <c r="U25" s="100"/>
      <c r="V25" s="100"/>
      <c r="W25" s="63"/>
      <c r="X25" s="130"/>
      <c r="Y25" s="130"/>
      <c r="Z25" s="92"/>
      <c r="AA25" s="93"/>
      <c r="AB25" s="92" t="str">
        <f t="shared" si="0"/>
        <v/>
      </c>
      <c r="AC25" s="93"/>
      <c r="AD25" s="94"/>
      <c r="AE25" s="130"/>
      <c r="AF25" s="130"/>
      <c r="AG25" s="92"/>
      <c r="AH25" s="93"/>
      <c r="AI25" s="92" t="str">
        <f t="shared" si="1"/>
        <v/>
      </c>
      <c r="AJ25" s="93"/>
    </row>
    <row r="26" spans="2:36" ht="24.95" customHeight="1" outlineLevel="1" x14ac:dyDescent="0.25">
      <c r="B26" s="63"/>
      <c r="C26" s="213"/>
      <c r="D26" s="222"/>
      <c r="E26" s="85"/>
      <c r="F26" s="86"/>
      <c r="G26" s="87"/>
      <c r="H26" s="87"/>
      <c r="I26" s="87"/>
      <c r="J26" s="88"/>
      <c r="K26" s="89" t="str">
        <f>IF(X26="","",IF($X26=E26,"✓","✗"))</f>
        <v/>
      </c>
      <c r="L26" s="90"/>
      <c r="M26" s="90"/>
      <c r="N26" s="90"/>
      <c r="O26" s="90"/>
      <c r="P26" s="91"/>
      <c r="Q26" s="85"/>
      <c r="R26" s="86"/>
      <c r="S26" s="87"/>
      <c r="T26" s="87"/>
      <c r="U26" s="87"/>
      <c r="V26" s="88"/>
      <c r="W26" s="89" t="str">
        <f>IF(AE26="","",IF($AE26=Q26,"✓","✗"))</f>
        <v/>
      </c>
      <c r="X26" s="170" t="str">
        <f>IF(F26="","",IF(Z26&gt;Z27,E26,E27))</f>
        <v/>
      </c>
      <c r="Y26" s="170" t="str">
        <f>IF(F26="","",IF(Z26&lt;Z27,E26,E27))</f>
        <v/>
      </c>
      <c r="Z26" s="92">
        <f>(F26&gt;F27)+(G26&gt;G27)+(H26&gt;H27)+(I26&gt;I27)+(J26&gt;J27)</f>
        <v>0</v>
      </c>
      <c r="AA26" s="93">
        <f>Z27</f>
        <v>0</v>
      </c>
      <c r="AB26" s="92" t="str">
        <f t="shared" si="0"/>
        <v/>
      </c>
      <c r="AC26" s="93" t="str">
        <f>AB27</f>
        <v/>
      </c>
      <c r="AD26" s="94"/>
      <c r="AE26" s="170" t="str">
        <f>IF(R26="","",IF(AG26&gt;AG27,Q26,Q27))</f>
        <v/>
      </c>
      <c r="AF26" s="170" t="str">
        <f>IF(R26="","",IF(AG26&lt;AG27,Q26,Q27))</f>
        <v/>
      </c>
      <c r="AG26" s="92">
        <f>(R26&gt;R27)+(S26&gt;S27)+(T26&gt;T27)+(U26&gt;U27)+(V26&gt;V27)</f>
        <v>0</v>
      </c>
      <c r="AH26" s="93">
        <f>AG27</f>
        <v>0</v>
      </c>
      <c r="AI26" s="92" t="str">
        <f t="shared" si="1"/>
        <v/>
      </c>
      <c r="AJ26" s="93" t="str">
        <f>AI27</f>
        <v/>
      </c>
    </row>
    <row r="27" spans="2:36" ht="24.95" customHeight="1" outlineLevel="1" thickBot="1" x14ac:dyDescent="0.3">
      <c r="B27" s="63"/>
      <c r="C27" s="213"/>
      <c r="D27" s="222"/>
      <c r="E27" s="95"/>
      <c r="F27" s="96"/>
      <c r="G27" s="97"/>
      <c r="H27" s="97"/>
      <c r="I27" s="97"/>
      <c r="J27" s="98"/>
      <c r="K27" s="89" t="str">
        <f>IF(X26="","",IF($X26=E27,"✓","✗"))</f>
        <v/>
      </c>
      <c r="L27" s="90"/>
      <c r="M27" s="90"/>
      <c r="N27" s="90"/>
      <c r="O27" s="90"/>
      <c r="P27" s="91"/>
      <c r="Q27" s="95"/>
      <c r="R27" s="96"/>
      <c r="S27" s="97"/>
      <c r="T27" s="97"/>
      <c r="U27" s="97"/>
      <c r="V27" s="98"/>
      <c r="W27" s="89" t="str">
        <f>IF(AE26="","",IF($AE26=Q27,"✓","✗"))</f>
        <v/>
      </c>
      <c r="X27" s="170"/>
      <c r="Y27" s="170"/>
      <c r="Z27" s="92">
        <f>(F26&lt;F27)+(G26&lt;G27)+(H26&lt;H27)+(I26&lt;I27)+(J26&lt;J27)</f>
        <v>0</v>
      </c>
      <c r="AA27" s="93">
        <f>Z26</f>
        <v>0</v>
      </c>
      <c r="AB27" s="92" t="str">
        <f t="shared" si="0"/>
        <v/>
      </c>
      <c r="AC27" s="93" t="str">
        <f>AB26</f>
        <v/>
      </c>
      <c r="AD27" s="94"/>
      <c r="AE27" s="170"/>
      <c r="AF27" s="170"/>
      <c r="AG27" s="92">
        <f>(R26&lt;R27)+(S26&lt;S27)+(T26&lt;T27)+(U26&lt;U27)+(V26&lt;V27)</f>
        <v>0</v>
      </c>
      <c r="AH27" s="93">
        <f>AG26</f>
        <v>0</v>
      </c>
      <c r="AI27" s="92" t="str">
        <f t="shared" si="1"/>
        <v/>
      </c>
      <c r="AJ27" s="93" t="str">
        <f>AI26</f>
        <v/>
      </c>
    </row>
    <row r="28" spans="2:36" ht="24.95" customHeight="1" outlineLevel="1" thickBot="1" x14ac:dyDescent="0.3">
      <c r="B28" s="63"/>
      <c r="C28" s="213"/>
      <c r="D28" s="99"/>
      <c r="E28" s="63"/>
      <c r="F28" s="100"/>
      <c r="G28" s="100"/>
      <c r="H28" s="100"/>
      <c r="I28" s="100"/>
      <c r="J28" s="100"/>
      <c r="K28" s="63"/>
      <c r="L28" s="63"/>
      <c r="M28" s="63"/>
      <c r="N28" s="63"/>
      <c r="O28" s="133"/>
      <c r="P28" s="63"/>
      <c r="Q28" s="63"/>
      <c r="R28" s="100"/>
      <c r="S28" s="100"/>
      <c r="T28" s="100"/>
      <c r="U28" s="100"/>
      <c r="V28" s="100"/>
      <c r="W28" s="63"/>
      <c r="X28" s="130"/>
      <c r="Y28" s="130"/>
      <c r="Z28" s="92"/>
      <c r="AA28" s="93"/>
      <c r="AB28" s="92" t="str">
        <f t="shared" si="0"/>
        <v/>
      </c>
      <c r="AC28" s="93"/>
      <c r="AD28" s="94"/>
      <c r="AE28" s="130"/>
      <c r="AF28" s="130"/>
      <c r="AG28" s="92"/>
      <c r="AH28" s="93"/>
      <c r="AI28" s="92" t="str">
        <f t="shared" si="1"/>
        <v/>
      </c>
      <c r="AJ28" s="93"/>
    </row>
    <row r="29" spans="2:36" ht="24.95" customHeight="1" outlineLevel="1" x14ac:dyDescent="0.25">
      <c r="B29" s="63"/>
      <c r="C29" s="213"/>
      <c r="D29" s="222"/>
      <c r="E29" s="85"/>
      <c r="F29" s="86"/>
      <c r="G29" s="87"/>
      <c r="H29" s="87"/>
      <c r="I29" s="87"/>
      <c r="J29" s="88"/>
      <c r="K29" s="89" t="str">
        <f>IF(X29="","",IF($X29=E29,"✓","✗"))</f>
        <v/>
      </c>
      <c r="L29" s="90"/>
      <c r="M29" s="90"/>
      <c r="N29" s="90"/>
      <c r="O29" s="90"/>
      <c r="P29" s="91"/>
      <c r="Q29" s="85"/>
      <c r="R29" s="86"/>
      <c r="S29" s="87"/>
      <c r="T29" s="87"/>
      <c r="U29" s="87"/>
      <c r="V29" s="88"/>
      <c r="W29" s="89" t="str">
        <f>IF(AE29="","",IF($AE29=Q29,"✓","✗"))</f>
        <v/>
      </c>
      <c r="X29" s="170" t="str">
        <f>IF(F29="","",IF(Z29&gt;Z30,E29,E30))</f>
        <v/>
      </c>
      <c r="Y29" s="170" t="str">
        <f>IF(F29="","",IF(Z29&lt;Z30,E29,E30))</f>
        <v/>
      </c>
      <c r="Z29" s="92">
        <f>(F29&gt;F30)+(G29&gt;G30)+(H29&gt;H30)+(I29&gt;I30)+(J29&gt;J30)</f>
        <v>0</v>
      </c>
      <c r="AA29" s="93">
        <f>Z30</f>
        <v>0</v>
      </c>
      <c r="AB29" s="92" t="str">
        <f t="shared" si="0"/>
        <v/>
      </c>
      <c r="AC29" s="93" t="str">
        <f>AB30</f>
        <v/>
      </c>
      <c r="AD29" s="94"/>
      <c r="AE29" s="170" t="str">
        <f>IF(R29="","",IF(AG29&gt;AG30,Q29,Q30))</f>
        <v/>
      </c>
      <c r="AF29" s="170" t="str">
        <f>IF(R29="","",IF(AG29&lt;AG30,Q29,Q30))</f>
        <v/>
      </c>
      <c r="AG29" s="92">
        <f>(R29&gt;R30)+(S29&gt;S30)+(T29&gt;T30)+(U29&gt;U30)+(V29&gt;V30)</f>
        <v>0</v>
      </c>
      <c r="AH29" s="93">
        <f>AG30</f>
        <v>0</v>
      </c>
      <c r="AI29" s="92" t="str">
        <f t="shared" si="1"/>
        <v/>
      </c>
      <c r="AJ29" s="93" t="str">
        <f>AI30</f>
        <v/>
      </c>
    </row>
    <row r="30" spans="2:36" ht="24.95" customHeight="1" outlineLevel="1" thickBot="1" x14ac:dyDescent="0.3">
      <c r="B30" s="63"/>
      <c r="C30" s="213"/>
      <c r="D30" s="222"/>
      <c r="E30" s="95"/>
      <c r="F30" s="96"/>
      <c r="G30" s="97"/>
      <c r="H30" s="97"/>
      <c r="I30" s="97"/>
      <c r="J30" s="98"/>
      <c r="K30" s="89" t="str">
        <f>IF(X29="","",IF($X29=E30,"✓","✗"))</f>
        <v/>
      </c>
      <c r="L30" s="90"/>
      <c r="M30" s="90"/>
      <c r="N30" s="90"/>
      <c r="O30" s="90"/>
      <c r="P30" s="91"/>
      <c r="Q30" s="95"/>
      <c r="R30" s="96"/>
      <c r="S30" s="97"/>
      <c r="T30" s="97"/>
      <c r="U30" s="97"/>
      <c r="V30" s="98"/>
      <c r="W30" s="89" t="str">
        <f>IF(AE29="","",IF($AE29=Q30,"✓","✗"))</f>
        <v/>
      </c>
      <c r="X30" s="170"/>
      <c r="Y30" s="170"/>
      <c r="Z30" s="92">
        <f>(F29&lt;F30)+(G29&lt;G30)+(H29&lt;H30)+(I29&lt;I30)+(J29&lt;J30)</f>
        <v>0</v>
      </c>
      <c r="AA30" s="93">
        <f>Z29</f>
        <v>0</v>
      </c>
      <c r="AB30" s="92" t="str">
        <f t="shared" si="0"/>
        <v/>
      </c>
      <c r="AC30" s="93" t="str">
        <f>AB29</f>
        <v/>
      </c>
      <c r="AD30" s="94"/>
      <c r="AE30" s="170"/>
      <c r="AF30" s="170"/>
      <c r="AG30" s="92">
        <f>(R29&lt;R30)+(S29&lt;S30)+(T29&lt;T30)+(U29&lt;U30)+(V29&lt;V30)</f>
        <v>0</v>
      </c>
      <c r="AH30" s="93">
        <f>AG29</f>
        <v>0</v>
      </c>
      <c r="AI30" s="92" t="str">
        <f t="shared" si="1"/>
        <v/>
      </c>
      <c r="AJ30" s="93" t="str">
        <f>AI29</f>
        <v/>
      </c>
    </row>
    <row r="31" spans="2:36" ht="24.95" customHeight="1" outlineLevel="1" x14ac:dyDescent="0.25">
      <c r="B31" s="63"/>
      <c r="C31" s="213"/>
      <c r="D31" s="65"/>
      <c r="E31" s="101"/>
      <c r="F31" s="102"/>
      <c r="G31" s="102"/>
      <c r="H31" s="102"/>
      <c r="I31" s="102"/>
      <c r="J31" s="102"/>
      <c r="K31" s="90"/>
      <c r="L31" s="90"/>
      <c r="M31" s="90"/>
      <c r="N31" s="90"/>
      <c r="O31" s="90"/>
      <c r="P31" s="91"/>
      <c r="Q31" s="101"/>
      <c r="R31" s="102"/>
      <c r="S31" s="102"/>
      <c r="T31" s="102"/>
      <c r="U31" s="102"/>
      <c r="V31" s="102"/>
      <c r="W31" s="63"/>
      <c r="X31" s="94"/>
      <c r="Y31" s="127"/>
      <c r="Z31" s="103"/>
      <c r="AA31" s="103"/>
      <c r="AB31" s="103"/>
      <c r="AC31" s="103"/>
      <c r="AD31" s="94"/>
      <c r="AE31" s="94"/>
      <c r="AF31" s="127"/>
      <c r="AG31" s="103"/>
      <c r="AH31" s="103"/>
      <c r="AI31" s="103"/>
      <c r="AJ31" s="103"/>
    </row>
    <row r="32" spans="2:36" ht="15" customHeight="1" x14ac:dyDescent="0.25"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</row>
    <row r="33" spans="1:26" ht="15" customHeight="1" x14ac:dyDescent="0.25">
      <c r="A33" s="69"/>
      <c r="B33" s="69"/>
      <c r="C33" s="69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0"/>
      <c r="Q33" s="70"/>
      <c r="R33" s="72"/>
      <c r="S33" s="72"/>
      <c r="T33" s="72"/>
      <c r="U33" s="72"/>
      <c r="V33" s="72"/>
      <c r="W33" s="72"/>
    </row>
    <row r="34" spans="1:26" ht="15" customHeight="1" outlineLevel="1" x14ac:dyDescent="0.25"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</row>
    <row r="35" spans="1:26" ht="24.75" customHeight="1" outlineLevel="1" x14ac:dyDescent="0.25">
      <c r="C35" s="188" t="s">
        <v>9</v>
      </c>
      <c r="D35" s="214" t="str">
        <f>E8</f>
        <v>GRUPO Z</v>
      </c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</row>
    <row r="36" spans="1:26" ht="15" customHeight="1" outlineLevel="1" thickBot="1" x14ac:dyDescent="0.3">
      <c r="C36" s="188"/>
    </row>
    <row r="37" spans="1:26" ht="24.75" customHeight="1" outlineLevel="1" thickBot="1" x14ac:dyDescent="0.3">
      <c r="C37" s="188"/>
      <c r="D37" s="216" t="s">
        <v>33</v>
      </c>
      <c r="E37" s="217"/>
      <c r="F37" s="218"/>
      <c r="G37" s="175" t="s">
        <v>43</v>
      </c>
      <c r="H37" s="196" t="s">
        <v>34</v>
      </c>
      <c r="I37" s="197"/>
      <c r="J37" s="198"/>
      <c r="K37" s="196" t="s">
        <v>36</v>
      </c>
      <c r="L37" s="197"/>
      <c r="M37" s="198"/>
      <c r="N37" s="196" t="s">
        <v>31</v>
      </c>
      <c r="O37" s="197"/>
      <c r="P37" s="198"/>
    </row>
    <row r="38" spans="1:26" ht="24.75" customHeight="1" outlineLevel="1" thickBot="1" x14ac:dyDescent="0.3">
      <c r="B38" s="105">
        <v>1</v>
      </c>
      <c r="C38" s="188"/>
      <c r="D38" s="219"/>
      <c r="E38" s="220"/>
      <c r="F38" s="221"/>
      <c r="G38" s="176"/>
      <c r="H38" s="106" t="s">
        <v>35</v>
      </c>
      <c r="I38" s="107" t="s">
        <v>28</v>
      </c>
      <c r="J38" s="108" t="s">
        <v>29</v>
      </c>
      <c r="K38" s="109" t="s">
        <v>6</v>
      </c>
      <c r="L38" s="107" t="s">
        <v>7</v>
      </c>
      <c r="M38" s="108" t="s">
        <v>38</v>
      </c>
      <c r="N38" s="110" t="s">
        <v>6</v>
      </c>
      <c r="O38" s="111" t="s">
        <v>7</v>
      </c>
      <c r="P38" s="108" t="s">
        <v>38</v>
      </c>
    </row>
    <row r="39" spans="1:26" ht="24.75" customHeight="1" outlineLevel="1" x14ac:dyDescent="0.25">
      <c r="B39" s="105">
        <v>2</v>
      </c>
      <c r="C39" s="188"/>
      <c r="D39" s="112">
        <v>1</v>
      </c>
      <c r="E39" s="207" t="str">
        <f>IF(F23="","",VLOOKUP($D39,'Cálculos Pádel 2025'!$B$19:$AB$21,2,FALSE))</f>
        <v>MANOLO / JOSÉ</v>
      </c>
      <c r="F39" s="208"/>
      <c r="G39" s="139">
        <f>VLOOKUP($D39,'Cálculos Pádel 2025'!$B$19:$AB$21,4,FALSE)</f>
        <v>3</v>
      </c>
      <c r="H39" s="113">
        <f>VLOOKUP($D39,'Cálculos Pádel 2025'!$B$19:$AB$21,7,FALSE)</f>
        <v>1</v>
      </c>
      <c r="I39" s="114">
        <f>VLOOKUP($D39,'Cálculos Pádel 2025'!$B$19:$AB$21,10,FALSE)</f>
        <v>1</v>
      </c>
      <c r="J39" s="115">
        <f>VLOOKUP($D39,'Cálculos Pádel 2025'!$B$19:$AB$21,11,FALSE)</f>
        <v>0</v>
      </c>
      <c r="K39" s="116">
        <f>VLOOKUP($D39,'Cálculos Pádel 2025'!$B$19:$AB$21,14,FALSE)</f>
        <v>2</v>
      </c>
      <c r="L39" s="114">
        <f>VLOOKUP($D39,'Cálculos Pádel 2025'!$B$19:$AB$21,17,FALSE)</f>
        <v>1</v>
      </c>
      <c r="M39" s="114">
        <f>VLOOKUP($D39,'Cálculos Pádel 2025'!$B$19:$AB$21,18,FALSE)</f>
        <v>1</v>
      </c>
      <c r="N39" s="113">
        <f>VLOOKUP($D39,'Cálculos Pádel 2025'!$B$19:$AB$21,21,FALSE)</f>
        <v>15</v>
      </c>
      <c r="O39" s="114">
        <f>VLOOKUP($D39,'Cálculos Pádel 2025'!$B$19:$AB$21,24,FALSE)</f>
        <v>12</v>
      </c>
      <c r="P39" s="115">
        <f>VLOOKUP($D39,'Cálculos Pádel 2025'!$B$19:$AB$21,25,FALSE)</f>
        <v>3</v>
      </c>
    </row>
    <row r="40" spans="1:26" ht="24.75" customHeight="1" outlineLevel="1" x14ac:dyDescent="0.25">
      <c r="B40" s="105">
        <v>3</v>
      </c>
      <c r="C40" s="188"/>
      <c r="D40" s="117">
        <v>2</v>
      </c>
      <c r="E40" s="209" t="str">
        <f>IF(F23="","",VLOOKUP($D40,'Cálculos Pádel 2025'!$B$19:$AB$21,2,FALSE))</f>
        <v>PELÓN / NUNES</v>
      </c>
      <c r="F40" s="210"/>
      <c r="G40" s="140">
        <f>VLOOKUP($D40,'Cálculos Pádel 2025'!$B$19:$AB$21,4,FALSE)</f>
        <v>0</v>
      </c>
      <c r="H40" s="118">
        <f>VLOOKUP($D40,'Cálculos Pádel 2025'!$B$19:$AB$21,7,FALSE)</f>
        <v>0</v>
      </c>
      <c r="I40" s="119">
        <f>VLOOKUP($D40,'Cálculos Pádel 2025'!$B$19:$AB$21,10,FALSE)</f>
        <v>0</v>
      </c>
      <c r="J40" s="120">
        <f>VLOOKUP($D40,'Cálculos Pádel 2025'!$B$19:$AB$21,11,FALSE)</f>
        <v>0</v>
      </c>
      <c r="K40" s="121">
        <f>VLOOKUP($D40,'Cálculos Pádel 2025'!$B$19:$AB$21,14,FALSE)</f>
        <v>0</v>
      </c>
      <c r="L40" s="119">
        <f>VLOOKUP($D40,'Cálculos Pádel 2025'!$B$19:$AB$21,17,FALSE)</f>
        <v>0</v>
      </c>
      <c r="M40" s="119">
        <f>VLOOKUP($D40,'Cálculos Pádel 2025'!$B$19:$AB$21,18,FALSE)</f>
        <v>0</v>
      </c>
      <c r="N40" s="118">
        <f>VLOOKUP($D40,'Cálculos Pádel 2025'!$B$19:$AB$21,21,FALSE)</f>
        <v>0</v>
      </c>
      <c r="O40" s="119">
        <f>VLOOKUP($D40,'Cálculos Pádel 2025'!$B$19:$AB$21,24,FALSE)</f>
        <v>0</v>
      </c>
      <c r="P40" s="120">
        <f>VLOOKUP($D40,'Cálculos Pádel 2025'!$B$19:$AB$21,25,FALSE)</f>
        <v>0</v>
      </c>
    </row>
    <row r="41" spans="1:26" ht="24.75" customHeight="1" outlineLevel="1" x14ac:dyDescent="0.25">
      <c r="B41" s="105">
        <v>4</v>
      </c>
      <c r="C41" s="188"/>
      <c r="D41" s="122">
        <v>3</v>
      </c>
      <c r="E41" s="211" t="str">
        <f>IF(F23="","",VLOOKUP($D41,'Cálculos Pádel 2025'!$B$19:$AB$21,2,FALSE))</f>
        <v>CARLOS / QUINTANA</v>
      </c>
      <c r="F41" s="212"/>
      <c r="G41" s="141">
        <f>VLOOKUP($D41,'Cálculos Pádel 2025'!$B$19:$AB$21,4,FALSE)</f>
        <v>0</v>
      </c>
      <c r="H41" s="123">
        <f>VLOOKUP($D41,'Cálculos Pádel 2025'!$B$19:$AB$21,7,FALSE)</f>
        <v>1</v>
      </c>
      <c r="I41" s="124">
        <f>VLOOKUP($D41,'Cálculos Pádel 2025'!$B$19:$AB$21,10,FALSE)</f>
        <v>0</v>
      </c>
      <c r="J41" s="125">
        <f>VLOOKUP($D41,'Cálculos Pádel 2025'!$B$19:$AB$21,11,FALSE)</f>
        <v>1</v>
      </c>
      <c r="K41" s="116">
        <f>VLOOKUP($D41,'Cálculos Pádel 2025'!$B$19:$AB$21,14,FALSE)</f>
        <v>1</v>
      </c>
      <c r="L41" s="114">
        <f>VLOOKUP($D41,'Cálculos Pádel 2025'!$B$19:$AB$21,17,FALSE)</f>
        <v>2</v>
      </c>
      <c r="M41" s="124">
        <f>VLOOKUP($D41,'Cálculos Pádel 2025'!$B$19:$AB$21,18,FALSE)</f>
        <v>-1</v>
      </c>
      <c r="N41" s="123">
        <f>VLOOKUP($D41,'Cálculos Pádel 2025'!$B$19:$AB$21,21,FALSE)</f>
        <v>12</v>
      </c>
      <c r="O41" s="124">
        <f>VLOOKUP($D41,'Cálculos Pádel 2025'!$B$19:$AB$21,24,FALSE)</f>
        <v>15</v>
      </c>
      <c r="P41" s="125">
        <f>VLOOKUP($D41,'Cálculos Pádel 2025'!$B$19:$AB$21,25,FALSE)</f>
        <v>-3</v>
      </c>
    </row>
    <row r="42" spans="1:26" ht="24.75" customHeight="1" outlineLevel="1" x14ac:dyDescent="0.25">
      <c r="C42" s="188"/>
      <c r="D42" s="94"/>
      <c r="E42" s="126"/>
      <c r="F42" s="126"/>
      <c r="G42" s="94"/>
      <c r="H42" s="94"/>
      <c r="I42" s="94"/>
      <c r="J42" s="94"/>
      <c r="K42" s="94"/>
      <c r="L42" s="94"/>
      <c r="M42" s="94"/>
      <c r="N42" s="94"/>
      <c r="O42" s="132"/>
      <c r="P42" s="94"/>
    </row>
    <row r="43" spans="1:26" ht="24.75" customHeight="1" outlineLevel="1" x14ac:dyDescent="0.25">
      <c r="C43" s="188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V43" s="94"/>
      <c r="W43" s="94"/>
      <c r="X43" s="94"/>
      <c r="Y43" s="127"/>
    </row>
    <row r="44" spans="1:26" ht="24.75" customHeight="1" outlineLevel="1" x14ac:dyDescent="0.25">
      <c r="C44" s="188"/>
      <c r="D44" s="215" t="str">
        <f>Q8</f>
        <v>GRUPO Y</v>
      </c>
      <c r="E44" s="215"/>
      <c r="F44" s="215"/>
      <c r="G44" s="215"/>
      <c r="H44" s="215"/>
      <c r="I44" s="215"/>
      <c r="J44" s="215"/>
      <c r="K44" s="215"/>
      <c r="L44" s="215"/>
      <c r="M44" s="215"/>
      <c r="N44" s="215"/>
      <c r="O44" s="215"/>
      <c r="P44" s="215"/>
      <c r="V44" s="104"/>
      <c r="W44" s="104"/>
      <c r="X44" s="104"/>
      <c r="Y44" s="104"/>
      <c r="Z44" s="104"/>
    </row>
    <row r="45" spans="1:26" ht="15" customHeight="1" outlineLevel="1" thickBot="1" x14ac:dyDescent="0.3">
      <c r="C45" s="188"/>
      <c r="V45" s="104"/>
      <c r="W45" s="104"/>
      <c r="X45" s="104"/>
      <c r="Y45" s="104"/>
      <c r="Z45" s="104"/>
    </row>
    <row r="46" spans="1:26" ht="24.75" customHeight="1" outlineLevel="1" thickBot="1" x14ac:dyDescent="0.3">
      <c r="C46" s="188"/>
      <c r="D46" s="216" t="s">
        <v>33</v>
      </c>
      <c r="E46" s="217"/>
      <c r="F46" s="218"/>
      <c r="G46" s="175" t="s">
        <v>43</v>
      </c>
      <c r="H46" s="196" t="s">
        <v>34</v>
      </c>
      <c r="I46" s="197"/>
      <c r="J46" s="198"/>
      <c r="K46" s="196" t="s">
        <v>36</v>
      </c>
      <c r="L46" s="197"/>
      <c r="M46" s="198"/>
      <c r="N46" s="196" t="s">
        <v>31</v>
      </c>
      <c r="O46" s="197"/>
      <c r="P46" s="198"/>
    </row>
    <row r="47" spans="1:26" ht="24.75" customHeight="1" outlineLevel="1" thickBot="1" x14ac:dyDescent="0.3">
      <c r="C47" s="188"/>
      <c r="D47" s="219"/>
      <c r="E47" s="220"/>
      <c r="F47" s="221"/>
      <c r="G47" s="176"/>
      <c r="H47" s="106" t="s">
        <v>35</v>
      </c>
      <c r="I47" s="107" t="s">
        <v>28</v>
      </c>
      <c r="J47" s="108" t="s">
        <v>29</v>
      </c>
      <c r="K47" s="109" t="s">
        <v>6</v>
      </c>
      <c r="L47" s="107" t="s">
        <v>7</v>
      </c>
      <c r="M47" s="108" t="s">
        <v>38</v>
      </c>
      <c r="N47" s="110" t="s">
        <v>6</v>
      </c>
      <c r="O47" s="111" t="s">
        <v>7</v>
      </c>
      <c r="P47" s="108" t="s">
        <v>38</v>
      </c>
    </row>
    <row r="48" spans="1:26" ht="24.75" customHeight="1" outlineLevel="1" x14ac:dyDescent="0.25">
      <c r="C48" s="188"/>
      <c r="D48" s="112">
        <v>1</v>
      </c>
      <c r="E48" s="207" t="str">
        <f>IF(F23="","",VLOOKUP($D48,'Cálculos Pádel 2025'!$B$30:$AB$32,2,FALSE))</f>
        <v>TOLEDO / JUAN</v>
      </c>
      <c r="F48" s="208"/>
      <c r="G48" s="139">
        <f>VLOOKUP($D48,'Cálculos Pádel 2025'!$B$30:$AB$32,4,FALSE)</f>
        <v>3</v>
      </c>
      <c r="H48" s="113">
        <f>VLOOKUP($D48,'Cálculos Pádel 2025'!$B$30:$AB$32,7,FALSE)</f>
        <v>1</v>
      </c>
      <c r="I48" s="114">
        <f>VLOOKUP($D48,'Cálculos Pádel 2025'!$B$30:$AB$32,10,FALSE)</f>
        <v>1</v>
      </c>
      <c r="J48" s="115">
        <f>VLOOKUP($D48,'Cálculos Pádel 2025'!$B$30:$AB$32,11,FALSE)</f>
        <v>0</v>
      </c>
      <c r="K48" s="116">
        <f>VLOOKUP($D48,'Cálculos Pádel 2025'!$B$30:$AB$32,14,FALSE)</f>
        <v>2</v>
      </c>
      <c r="L48" s="114">
        <f>VLOOKUP($D48,'Cálculos Pádel 2025'!$B$30:$AB$32,17,FALSE)</f>
        <v>0</v>
      </c>
      <c r="M48" s="114">
        <f>VLOOKUP($D48,'Cálculos Pádel 2025'!$B$30:$AB$32,18,FALSE)</f>
        <v>2</v>
      </c>
      <c r="N48" s="113">
        <f>VLOOKUP($D48,'Cálculos Pádel 2025'!$B$30:$AB$32,21,FALSE)</f>
        <v>12</v>
      </c>
      <c r="O48" s="114">
        <f>VLOOKUP($D48,'Cálculos Pádel 2025'!$B$30:$AB$32,24,FALSE)</f>
        <v>6</v>
      </c>
      <c r="P48" s="115">
        <f>VLOOKUP($D48,'Cálculos Pádel 2025'!$B$30:$AB$32,25,FALSE)</f>
        <v>6</v>
      </c>
    </row>
    <row r="49" spans="1:36" ht="24.75" customHeight="1" outlineLevel="1" x14ac:dyDescent="0.25">
      <c r="C49" s="188"/>
      <c r="D49" s="117">
        <v>2</v>
      </c>
      <c r="E49" s="209" t="str">
        <f>IF(F23="","",VLOOKUP($D49,'Cálculos Pádel 2025'!$B$30:$AB$32,2,FALSE))</f>
        <v>JAVI / DIEGO</v>
      </c>
      <c r="F49" s="210"/>
      <c r="G49" s="140">
        <f>VLOOKUP($D49,'Cálculos Pádel 2025'!$B$30:$AB$32,4,FALSE)</f>
        <v>0</v>
      </c>
      <c r="H49" s="118">
        <f>VLOOKUP($D49,'Cálculos Pádel 2025'!$B$30:$AB$32,7,FALSE)</f>
        <v>0</v>
      </c>
      <c r="I49" s="119">
        <f>VLOOKUP($D49,'Cálculos Pádel 2025'!$B$30:$AB$32,10,FALSE)</f>
        <v>0</v>
      </c>
      <c r="J49" s="120">
        <f>VLOOKUP($D49,'Cálculos Pádel 2025'!$B$30:$AB$32,11,FALSE)</f>
        <v>0</v>
      </c>
      <c r="K49" s="121">
        <f>VLOOKUP($D49,'Cálculos Pádel 2025'!$B$30:$AB$32,14,FALSE)</f>
        <v>0</v>
      </c>
      <c r="L49" s="119">
        <f>VLOOKUP($D49,'Cálculos Pádel 2025'!$B$30:$AB$32,17,FALSE)</f>
        <v>0</v>
      </c>
      <c r="M49" s="119">
        <f>VLOOKUP($D49,'Cálculos Pádel 2025'!$B$30:$AB$32,18,FALSE)</f>
        <v>0</v>
      </c>
      <c r="N49" s="118">
        <f>VLOOKUP($D49,'Cálculos Pádel 2025'!$B$30:$AB$32,21,FALSE)</f>
        <v>0</v>
      </c>
      <c r="O49" s="119">
        <f>VLOOKUP($D49,'Cálculos Pádel 2025'!$B$30:$AB$32,24,FALSE)</f>
        <v>0</v>
      </c>
      <c r="P49" s="120">
        <f>VLOOKUP($D49,'Cálculos Pádel 2025'!$B$30:$AB$32,25,FALSE)</f>
        <v>0</v>
      </c>
    </row>
    <row r="50" spans="1:36" ht="24.75" customHeight="1" outlineLevel="1" x14ac:dyDescent="0.25">
      <c r="C50" s="188"/>
      <c r="D50" s="122">
        <v>3</v>
      </c>
      <c r="E50" s="211" t="str">
        <f>IF(F23="","",VLOOKUP($D50,'Cálculos Pádel 2025'!$B$30:$AB$32,2,FALSE))</f>
        <v>JAIME / CAPÓN</v>
      </c>
      <c r="F50" s="212"/>
      <c r="G50" s="141">
        <f>VLOOKUP($D50,'Cálculos Pádel 2025'!$B$30:$AB$32,4,FALSE)</f>
        <v>0</v>
      </c>
      <c r="H50" s="123">
        <f>VLOOKUP($D50,'Cálculos Pádel 2025'!$B$30:$AB$32,7,FALSE)</f>
        <v>1</v>
      </c>
      <c r="I50" s="124">
        <f>VLOOKUP($D50,'Cálculos Pádel 2025'!$B$30:$AB$32,10,FALSE)</f>
        <v>0</v>
      </c>
      <c r="J50" s="125">
        <f>VLOOKUP($D50,'Cálculos Pádel 2025'!$B$30:$AB$32,11,FALSE)</f>
        <v>1</v>
      </c>
      <c r="K50" s="116">
        <f>VLOOKUP($D50,'Cálculos Pádel 2025'!$B$30:$AB$32,14,FALSE)</f>
        <v>0</v>
      </c>
      <c r="L50" s="114">
        <f>VLOOKUP($D50,'Cálculos Pádel 2025'!$B$30:$AB$32,17,FALSE)</f>
        <v>2</v>
      </c>
      <c r="M50" s="124">
        <f>VLOOKUP($D50,'Cálculos Pádel 2025'!$B$30:$AB$32,18,FALSE)</f>
        <v>-2</v>
      </c>
      <c r="N50" s="123">
        <f>VLOOKUP($D50,'Cálculos Pádel 2025'!$B$30:$AB$32,21,FALSE)</f>
        <v>6</v>
      </c>
      <c r="O50" s="124">
        <f>VLOOKUP($D50,'Cálculos Pádel 2025'!$B$30:$AB$32,24,FALSE)</f>
        <v>12</v>
      </c>
      <c r="P50" s="125">
        <f>VLOOKUP($D50,'Cálculos Pádel 2025'!$B$30:$AB$32,25,FALSE)</f>
        <v>-6</v>
      </c>
    </row>
    <row r="51" spans="1:36" ht="24.75" customHeight="1" outlineLevel="1" x14ac:dyDescent="0.25">
      <c r="C51" s="188"/>
    </row>
    <row r="52" spans="1:36" ht="15" customHeight="1" x14ac:dyDescent="0.25"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</row>
    <row r="53" spans="1:36" ht="15" customHeight="1" x14ac:dyDescent="0.25">
      <c r="A53" s="69"/>
      <c r="B53" s="69"/>
      <c r="C53" s="69"/>
      <c r="D53" s="70"/>
      <c r="E53" s="70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0"/>
      <c r="Q53" s="70"/>
      <c r="R53" s="72"/>
      <c r="S53" s="72"/>
      <c r="T53" s="72"/>
      <c r="U53" s="72"/>
      <c r="V53" s="72"/>
      <c r="W53" s="72"/>
    </row>
    <row r="54" spans="1:36" ht="15" customHeight="1" outlineLevel="1" x14ac:dyDescent="0.25">
      <c r="B54" s="63"/>
      <c r="C54" s="63"/>
      <c r="D54" s="65"/>
      <c r="E54" s="65"/>
      <c r="P54" s="65"/>
      <c r="Q54" s="65"/>
      <c r="R54" s="68"/>
      <c r="S54" s="68"/>
      <c r="T54" s="68"/>
      <c r="U54" s="68"/>
      <c r="V54" s="68"/>
      <c r="W54" s="68"/>
      <c r="X54" s="63"/>
      <c r="Y54" s="128"/>
      <c r="Z54" s="63"/>
      <c r="AA54" s="63"/>
    </row>
    <row r="55" spans="1:36" ht="19.5" customHeight="1" outlineLevel="1" x14ac:dyDescent="0.25">
      <c r="B55" s="63"/>
      <c r="C55" s="188" t="s">
        <v>40</v>
      </c>
      <c r="D55" s="65"/>
      <c r="E55" s="186" t="s">
        <v>39</v>
      </c>
      <c r="F55" s="186"/>
      <c r="G55" s="186"/>
      <c r="H55" s="186"/>
      <c r="I55" s="186"/>
      <c r="J55" s="186"/>
      <c r="K55" s="73"/>
      <c r="L55" s="73"/>
      <c r="M55" s="73"/>
      <c r="N55" s="73"/>
      <c r="O55" s="73"/>
      <c r="P55" s="74"/>
      <c r="Q55" s="178" t="s">
        <v>57</v>
      </c>
      <c r="R55" s="178"/>
      <c r="S55" s="178"/>
      <c r="T55" s="178"/>
      <c r="U55" s="178"/>
      <c r="V55" s="178"/>
      <c r="W55" s="68"/>
      <c r="X55" s="186" t="str">
        <f>E55</f>
        <v>SEMIFINALES</v>
      </c>
      <c r="Y55" s="186"/>
      <c r="Z55" s="186"/>
      <c r="AA55" s="186"/>
      <c r="AB55" s="186"/>
      <c r="AC55" s="186"/>
      <c r="AE55" s="178" t="str">
        <f>Q55</f>
        <v>FINAL</v>
      </c>
      <c r="AF55" s="178"/>
      <c r="AG55" s="178"/>
      <c r="AH55" s="178"/>
      <c r="AI55" s="178"/>
      <c r="AJ55" s="178"/>
    </row>
    <row r="56" spans="1:36" ht="19.5" customHeight="1" outlineLevel="1" thickBot="1" x14ac:dyDescent="0.3">
      <c r="B56" s="63"/>
      <c r="C56" s="188"/>
      <c r="D56" s="65"/>
      <c r="E56" s="194"/>
      <c r="F56" s="194"/>
      <c r="G56" s="194"/>
      <c r="H56" s="194"/>
      <c r="I56" s="194"/>
      <c r="J56" s="194"/>
      <c r="K56" s="73"/>
      <c r="L56" s="73"/>
      <c r="M56" s="73"/>
      <c r="N56" s="73"/>
      <c r="O56" s="73"/>
      <c r="P56" s="74"/>
      <c r="Q56" s="179"/>
      <c r="R56" s="179"/>
      <c r="S56" s="179"/>
      <c r="T56" s="179"/>
      <c r="U56" s="179"/>
      <c r="V56" s="179"/>
      <c r="W56" s="68"/>
      <c r="X56" s="186"/>
      <c r="Y56" s="186"/>
      <c r="Z56" s="186"/>
      <c r="AA56" s="186"/>
      <c r="AB56" s="186"/>
      <c r="AC56" s="186"/>
      <c r="AE56" s="178"/>
      <c r="AF56" s="178"/>
      <c r="AG56" s="178"/>
      <c r="AH56" s="178"/>
      <c r="AI56" s="178"/>
      <c r="AJ56" s="178"/>
    </row>
    <row r="57" spans="1:36" ht="19.5" customHeight="1" outlineLevel="1" thickBot="1" x14ac:dyDescent="0.3">
      <c r="B57" s="63"/>
      <c r="C57" s="188"/>
      <c r="D57" s="65"/>
      <c r="E57" s="65"/>
      <c r="P57" s="65"/>
      <c r="Q57" s="65"/>
      <c r="W57" s="68"/>
      <c r="X57" s="63"/>
      <c r="Y57" s="128"/>
      <c r="Z57" s="63"/>
      <c r="AA57" s="63"/>
    </row>
    <row r="58" spans="1:36" ht="20.100000000000001" customHeight="1" outlineLevel="1" x14ac:dyDescent="0.25">
      <c r="B58" s="63"/>
      <c r="C58" s="188"/>
      <c r="D58" s="65"/>
      <c r="E58" s="189" t="s">
        <v>10</v>
      </c>
      <c r="F58" s="191" t="s">
        <v>36</v>
      </c>
      <c r="G58" s="192"/>
      <c r="H58" s="192"/>
      <c r="I58" s="192"/>
      <c r="J58" s="193"/>
      <c r="K58" s="75"/>
      <c r="L58" s="75"/>
      <c r="M58" s="75"/>
      <c r="N58" s="75"/>
      <c r="O58" s="75"/>
      <c r="P58" s="76"/>
      <c r="W58" s="68"/>
    </row>
    <row r="59" spans="1:36" ht="20.100000000000001" customHeight="1" outlineLevel="1" thickBot="1" x14ac:dyDescent="0.3">
      <c r="B59" s="63"/>
      <c r="C59" s="188"/>
      <c r="D59" s="65"/>
      <c r="E59" s="190"/>
      <c r="F59" s="77" t="s">
        <v>12</v>
      </c>
      <c r="G59" s="78" t="s">
        <v>13</v>
      </c>
      <c r="H59" s="78" t="s">
        <v>14</v>
      </c>
      <c r="I59" s="78" t="s">
        <v>15</v>
      </c>
      <c r="J59" s="79" t="s">
        <v>16</v>
      </c>
      <c r="K59" s="75"/>
      <c r="L59" s="75"/>
      <c r="M59" s="75"/>
      <c r="N59" s="75"/>
      <c r="O59" s="75"/>
      <c r="P59" s="76"/>
      <c r="W59" s="63"/>
      <c r="X59" s="171" t="s">
        <v>27</v>
      </c>
      <c r="Y59" s="171" t="s">
        <v>41</v>
      </c>
      <c r="Z59" s="173" t="s">
        <v>2</v>
      </c>
      <c r="AA59" s="174"/>
      <c r="AB59" s="187" t="s">
        <v>26</v>
      </c>
      <c r="AC59" s="174"/>
      <c r="AE59" s="171" t="s">
        <v>27</v>
      </c>
      <c r="AF59" s="171" t="s">
        <v>41</v>
      </c>
      <c r="AG59" s="173" t="s">
        <v>2</v>
      </c>
      <c r="AH59" s="174"/>
      <c r="AI59" s="187" t="s">
        <v>26</v>
      </c>
      <c r="AJ59" s="174"/>
    </row>
    <row r="60" spans="1:36" ht="20.100000000000001" customHeight="1" outlineLevel="1" thickBot="1" x14ac:dyDescent="0.3">
      <c r="B60" s="63"/>
      <c r="C60" s="188"/>
      <c r="D60" s="65"/>
      <c r="E60" s="76"/>
      <c r="F60" s="76"/>
      <c r="G60" s="76"/>
      <c r="H60" s="76"/>
      <c r="I60" s="76"/>
      <c r="J60" s="76"/>
      <c r="K60" s="75"/>
      <c r="L60" s="75"/>
      <c r="M60" s="75"/>
      <c r="N60" s="75"/>
      <c r="O60" s="75"/>
      <c r="P60" s="76"/>
      <c r="Q60" s="76"/>
      <c r="R60" s="76"/>
      <c r="S60" s="76"/>
      <c r="T60" s="76"/>
      <c r="U60" s="76"/>
      <c r="V60" s="76"/>
      <c r="W60" s="63"/>
      <c r="X60" s="172"/>
      <c r="Y60" s="172"/>
      <c r="Z60" s="137" t="s">
        <v>28</v>
      </c>
      <c r="AA60" s="84" t="s">
        <v>29</v>
      </c>
      <c r="AB60" s="83" t="s">
        <v>28</v>
      </c>
      <c r="AC60" s="84" t="s">
        <v>29</v>
      </c>
      <c r="AE60" s="172"/>
      <c r="AF60" s="172"/>
      <c r="AG60" s="137" t="s">
        <v>28</v>
      </c>
      <c r="AH60" s="84" t="s">
        <v>29</v>
      </c>
      <c r="AI60" s="83" t="s">
        <v>28</v>
      </c>
      <c r="AJ60" s="84" t="s">
        <v>29</v>
      </c>
    </row>
    <row r="61" spans="1:36" ht="24.95" customHeight="1" outlineLevel="1" thickTop="1" x14ac:dyDescent="0.25">
      <c r="B61" s="63"/>
      <c r="C61" s="188"/>
      <c r="D61" s="177" t="s">
        <v>58</v>
      </c>
      <c r="E61" s="85" t="str">
        <f>IF(H39=2,E39,"")</f>
        <v/>
      </c>
      <c r="F61" s="86"/>
      <c r="G61" s="87"/>
      <c r="H61" s="87"/>
      <c r="I61" s="87"/>
      <c r="J61" s="88"/>
      <c r="K61" s="89" t="str">
        <f>IF(X61="","",IF($X61=E61,"✓","✗"))</f>
        <v/>
      </c>
      <c r="L61" s="90"/>
      <c r="M61" s="90"/>
      <c r="N61" s="90"/>
      <c r="O61" s="90"/>
      <c r="P61" s="91"/>
      <c r="W61" s="89"/>
      <c r="X61" s="170" t="str">
        <f>IF(F61="","",IF(Z61&gt;Z62,E61,E62))</f>
        <v/>
      </c>
      <c r="Y61" s="170" t="str">
        <f>IF(F61="","",IF(Z61&lt;Z62,E61,E62))</f>
        <v/>
      </c>
      <c r="Z61" s="92">
        <f>(F61&gt;F62)+(G61&gt;G62)+(H61&gt;H62)+(I61&gt;I62)+(J61&gt;J62)</f>
        <v>0</v>
      </c>
      <c r="AA61" s="93">
        <f>Z62</f>
        <v>0</v>
      </c>
      <c r="AB61" s="92" t="str">
        <f t="shared" ref="AB61:AB62" si="2">IF(E61="","",SUM(F61:J61))</f>
        <v/>
      </c>
      <c r="AC61" s="93" t="str">
        <f>AB62</f>
        <v/>
      </c>
      <c r="AD61" s="94"/>
      <c r="AE61" s="185"/>
      <c r="AF61" s="138"/>
      <c r="AG61" s="103"/>
      <c r="AH61" s="93"/>
      <c r="AI61" s="92"/>
      <c r="AJ61" s="93"/>
    </row>
    <row r="62" spans="1:36" ht="24.95" customHeight="1" outlineLevel="1" thickBot="1" x14ac:dyDescent="0.3">
      <c r="B62" s="63"/>
      <c r="C62" s="188"/>
      <c r="D62" s="177"/>
      <c r="E62" s="95" t="str">
        <f>IF(H49=2,E49,"")</f>
        <v/>
      </c>
      <c r="F62" s="96"/>
      <c r="G62" s="97"/>
      <c r="H62" s="97"/>
      <c r="I62" s="97"/>
      <c r="J62" s="98"/>
      <c r="K62" s="89" t="str">
        <f>IF(X61="","",IF($X61=E62,"✓","✗"))</f>
        <v/>
      </c>
      <c r="L62" s="90"/>
      <c r="M62" s="90"/>
      <c r="N62" s="90"/>
      <c r="O62" s="90"/>
      <c r="P62" s="91"/>
      <c r="W62" s="89"/>
      <c r="X62" s="170"/>
      <c r="Y62" s="170"/>
      <c r="Z62" s="92">
        <f>(F61&lt;F62)+(G61&lt;G62)+(H61&lt;H62)+(I61&lt;I62)+(J61&lt;J62)</f>
        <v>0</v>
      </c>
      <c r="AA62" s="93">
        <f>Z61</f>
        <v>0</v>
      </c>
      <c r="AB62" s="92" t="str">
        <f t="shared" si="2"/>
        <v/>
      </c>
      <c r="AC62" s="93" t="str">
        <f>AB61</f>
        <v/>
      </c>
      <c r="AD62" s="94"/>
      <c r="AE62" s="185"/>
      <c r="AF62" s="138"/>
      <c r="AG62" s="103"/>
      <c r="AH62" s="93"/>
      <c r="AI62" s="92"/>
      <c r="AJ62" s="93"/>
    </row>
    <row r="63" spans="1:36" ht="24.95" customHeight="1" outlineLevel="1" thickBot="1" x14ac:dyDescent="0.3">
      <c r="B63" s="154"/>
      <c r="C63" s="188"/>
      <c r="D63" s="169"/>
      <c r="E63" s="101"/>
      <c r="F63" s="102"/>
      <c r="G63" s="102"/>
      <c r="H63" s="102"/>
      <c r="I63" s="102"/>
      <c r="J63" s="102"/>
      <c r="K63" s="89"/>
      <c r="L63" s="90"/>
      <c r="M63" s="90"/>
      <c r="N63" s="90"/>
      <c r="O63" s="90"/>
      <c r="P63" s="91"/>
      <c r="W63" s="89"/>
      <c r="X63" s="152"/>
      <c r="Y63" s="153"/>
      <c r="AA63" s="93"/>
      <c r="AB63" s="92"/>
      <c r="AC63" s="93"/>
      <c r="AD63" s="132"/>
      <c r="AE63" s="152"/>
      <c r="AF63" s="152"/>
      <c r="AG63" s="103"/>
      <c r="AH63" s="93"/>
      <c r="AI63" s="92"/>
      <c r="AJ63" s="93"/>
    </row>
    <row r="64" spans="1:36" ht="24.95" customHeight="1" outlineLevel="1" x14ac:dyDescent="0.25">
      <c r="B64" s="63"/>
      <c r="C64" s="188"/>
      <c r="D64" s="166"/>
      <c r="E64" s="101"/>
      <c r="F64" s="102"/>
      <c r="G64" s="102"/>
      <c r="H64" s="102"/>
      <c r="I64" s="102"/>
      <c r="J64" s="102"/>
      <c r="K64" s="167"/>
      <c r="L64" s="90"/>
      <c r="M64" s="90"/>
      <c r="N64" s="90"/>
      <c r="O64" s="90"/>
      <c r="P64" s="90"/>
      <c r="Q64" s="180" t="s">
        <v>10</v>
      </c>
      <c r="R64" s="182" t="s">
        <v>36</v>
      </c>
      <c r="S64" s="183"/>
      <c r="T64" s="183"/>
      <c r="U64" s="183"/>
      <c r="V64" s="184"/>
      <c r="W64" s="89"/>
      <c r="X64" s="152"/>
      <c r="Y64" s="153"/>
      <c r="AA64" s="103"/>
      <c r="AB64" s="92"/>
      <c r="AC64" s="93"/>
      <c r="AD64" s="94"/>
      <c r="AE64" s="185"/>
      <c r="AF64" s="138"/>
      <c r="AG64" s="103"/>
      <c r="AH64" s="93"/>
      <c r="AI64" s="92"/>
      <c r="AJ64" s="93"/>
    </row>
    <row r="65" spans="2:36" ht="24.95" customHeight="1" outlineLevel="1" thickBot="1" x14ac:dyDescent="0.3">
      <c r="B65" s="63"/>
      <c r="C65" s="188"/>
      <c r="D65" s="166"/>
      <c r="E65" s="101"/>
      <c r="F65" s="102"/>
      <c r="G65" s="102"/>
      <c r="H65" s="102"/>
      <c r="I65" s="102"/>
      <c r="J65" s="102"/>
      <c r="K65" s="167"/>
      <c r="L65" s="90"/>
      <c r="M65" s="90"/>
      <c r="N65" s="90"/>
      <c r="O65" s="90"/>
      <c r="P65" s="90"/>
      <c r="Q65" s="181"/>
      <c r="R65" s="80" t="s">
        <v>12</v>
      </c>
      <c r="S65" s="81" t="s">
        <v>13</v>
      </c>
      <c r="T65" s="81" t="s">
        <v>14</v>
      </c>
      <c r="U65" s="81" t="s">
        <v>15</v>
      </c>
      <c r="V65" s="82" t="s">
        <v>16</v>
      </c>
      <c r="W65" s="89"/>
      <c r="X65" s="152"/>
      <c r="Y65" s="153"/>
      <c r="Z65" s="103"/>
      <c r="AA65" s="93"/>
      <c r="AB65" s="92"/>
      <c r="AC65" s="93"/>
      <c r="AD65" s="94"/>
      <c r="AE65" s="185"/>
      <c r="AF65" s="138"/>
      <c r="AG65" s="103"/>
      <c r="AH65" s="93"/>
      <c r="AI65" s="92"/>
      <c r="AJ65" s="93"/>
    </row>
    <row r="66" spans="2:36" ht="24.95" customHeight="1" outlineLevel="1" thickBot="1" x14ac:dyDescent="0.3">
      <c r="B66" s="63"/>
      <c r="C66" s="188"/>
      <c r="D66" s="166"/>
      <c r="E66" s="101"/>
      <c r="F66" s="102"/>
      <c r="G66" s="102"/>
      <c r="H66" s="102"/>
      <c r="I66" s="102"/>
      <c r="J66" s="102"/>
      <c r="K66" s="167"/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89"/>
      <c r="X66" s="152"/>
      <c r="Y66" s="152"/>
      <c r="Z66" s="103"/>
      <c r="AA66" s="93"/>
      <c r="AB66" s="92"/>
      <c r="AC66" s="93"/>
      <c r="AD66" s="94"/>
      <c r="AE66" s="138"/>
      <c r="AF66" s="138"/>
      <c r="AG66" s="103"/>
      <c r="AH66" s="93"/>
      <c r="AI66" s="92"/>
      <c r="AJ66" s="93"/>
    </row>
    <row r="67" spans="2:36" ht="24.95" customHeight="1" outlineLevel="1" x14ac:dyDescent="0.25">
      <c r="B67" s="63"/>
      <c r="C67" s="188"/>
      <c r="D67" s="166"/>
      <c r="E67" s="101"/>
      <c r="F67" s="102"/>
      <c r="G67" s="102"/>
      <c r="H67" s="102"/>
      <c r="I67" s="102"/>
      <c r="J67" s="102"/>
      <c r="K67" s="167"/>
      <c r="L67" s="90"/>
      <c r="M67" s="90"/>
      <c r="N67" s="90"/>
      <c r="O67" s="90"/>
      <c r="P67" s="90"/>
      <c r="Q67" s="85" t="str">
        <f>X61</f>
        <v/>
      </c>
      <c r="R67" s="86"/>
      <c r="S67" s="87"/>
      <c r="T67" s="87"/>
      <c r="U67" s="87"/>
      <c r="V67" s="88"/>
      <c r="W67" s="89"/>
      <c r="X67" s="152"/>
      <c r="Y67" s="152"/>
      <c r="Z67" s="103"/>
      <c r="AA67" s="93"/>
      <c r="AB67" s="92"/>
      <c r="AC67" s="93"/>
      <c r="AD67" s="94"/>
      <c r="AE67" s="170" t="str">
        <f>IF(R67="","",IF(AG67&gt;AG68,Q67,Q68))</f>
        <v/>
      </c>
      <c r="AF67" s="170" t="str">
        <f>IF(R67="","",IF(AG67&lt;AG68,Q67,Q68))</f>
        <v/>
      </c>
      <c r="AG67" s="92">
        <f>(R67&gt;R68)+(S67&gt;S68)+(T67&gt;T68)+(U67&gt;U68)+(V67&gt;V68)</f>
        <v>0</v>
      </c>
      <c r="AH67" s="93">
        <f>AG68</f>
        <v>0</v>
      </c>
      <c r="AI67" s="92" t="str">
        <f t="shared" ref="AI67:AI68" si="3">IF(Q67="","",SUM(R67:V67))</f>
        <v/>
      </c>
      <c r="AJ67" s="93" t="str">
        <f>AI68</f>
        <v/>
      </c>
    </row>
    <row r="68" spans="2:36" ht="24.95" customHeight="1" outlineLevel="1" thickBot="1" x14ac:dyDescent="0.3">
      <c r="B68" s="63"/>
      <c r="C68" s="188"/>
      <c r="D68" s="166"/>
      <c r="E68" s="101"/>
      <c r="F68" s="102"/>
      <c r="G68" s="102"/>
      <c r="H68" s="102"/>
      <c r="I68" s="102"/>
      <c r="J68" s="102"/>
      <c r="K68" s="168"/>
      <c r="L68" s="63"/>
      <c r="M68" s="63"/>
      <c r="N68" s="63"/>
      <c r="O68" s="133"/>
      <c r="P68" s="63"/>
      <c r="Q68" s="95" t="str">
        <f>X71</f>
        <v/>
      </c>
      <c r="R68" s="96"/>
      <c r="S68" s="97"/>
      <c r="T68" s="97"/>
      <c r="U68" s="97"/>
      <c r="V68" s="98"/>
      <c r="W68" s="63"/>
      <c r="X68" s="152"/>
      <c r="Y68" s="152"/>
      <c r="Z68" s="103"/>
      <c r="AA68" s="93"/>
      <c r="AB68" s="92"/>
      <c r="AC68" s="93"/>
      <c r="AD68" s="94"/>
      <c r="AE68" s="170"/>
      <c r="AF68" s="170"/>
      <c r="AG68" s="92">
        <f>(R67&lt;R68)+(S67&lt;S68)+(T67&lt;T68)+(U67&lt;U68)+(V67&lt;V68)</f>
        <v>0</v>
      </c>
      <c r="AH68" s="93">
        <f>AG67</f>
        <v>0</v>
      </c>
      <c r="AI68" s="92" t="str">
        <f t="shared" si="3"/>
        <v/>
      </c>
      <c r="AJ68" s="93" t="str">
        <f>AI67</f>
        <v/>
      </c>
    </row>
    <row r="69" spans="2:36" ht="24.95" customHeight="1" outlineLevel="1" x14ac:dyDescent="0.25">
      <c r="B69" s="63"/>
      <c r="C69" s="188"/>
      <c r="D69" s="166"/>
      <c r="E69" s="101"/>
      <c r="F69" s="102"/>
      <c r="G69" s="102"/>
      <c r="H69" s="102"/>
      <c r="I69" s="102"/>
      <c r="J69" s="102"/>
      <c r="K69" s="167"/>
      <c r="L69" s="90"/>
      <c r="M69" s="90"/>
      <c r="N69" s="90"/>
      <c r="O69" s="90"/>
      <c r="P69" s="91"/>
      <c r="W69" s="89"/>
      <c r="X69" s="152"/>
      <c r="Y69" s="152"/>
      <c r="Z69" s="103"/>
      <c r="AA69" s="93"/>
      <c r="AB69" s="92"/>
      <c r="AC69" s="93"/>
      <c r="AD69" s="94"/>
      <c r="AE69" s="185"/>
      <c r="AF69" s="138"/>
      <c r="AG69" s="103"/>
      <c r="AH69" s="93"/>
      <c r="AI69" s="92"/>
      <c r="AJ69" s="93"/>
    </row>
    <row r="70" spans="2:36" ht="24.95" customHeight="1" outlineLevel="1" thickBot="1" x14ac:dyDescent="0.3">
      <c r="B70" s="63"/>
      <c r="C70" s="188"/>
      <c r="D70" s="166"/>
      <c r="E70" s="101"/>
      <c r="F70" s="102"/>
      <c r="G70" s="102"/>
      <c r="H70" s="102"/>
      <c r="I70" s="102"/>
      <c r="J70" s="102"/>
      <c r="K70" s="167"/>
      <c r="L70" s="90"/>
      <c r="M70" s="90"/>
      <c r="N70" s="90"/>
      <c r="O70" s="90"/>
      <c r="P70" s="91"/>
      <c r="W70" s="89"/>
      <c r="X70" s="152"/>
      <c r="Y70" s="152"/>
      <c r="Z70" s="103"/>
      <c r="AA70" s="93"/>
      <c r="AB70" s="92"/>
      <c r="AC70" s="93"/>
      <c r="AD70" s="94"/>
      <c r="AE70" s="185"/>
      <c r="AF70" s="138"/>
      <c r="AG70" s="103"/>
      <c r="AH70" s="93"/>
      <c r="AI70" s="92"/>
      <c r="AJ70" s="93"/>
    </row>
    <row r="71" spans="2:36" ht="24.95" customHeight="1" outlineLevel="1" x14ac:dyDescent="0.25">
      <c r="B71" s="63"/>
      <c r="C71" s="188"/>
      <c r="D71" s="177" t="s">
        <v>59</v>
      </c>
      <c r="E71" s="85" t="str">
        <f>IF(H40=2,E40,"")</f>
        <v/>
      </c>
      <c r="F71" s="86"/>
      <c r="G71" s="87"/>
      <c r="H71" s="87"/>
      <c r="I71" s="87"/>
      <c r="J71" s="88"/>
      <c r="K71" s="89" t="str">
        <f>IF(X71="","",IF($X71=E71,"✓","✗"))</f>
        <v/>
      </c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89"/>
      <c r="X71" s="170" t="str">
        <f>IF(F71="","",IF(Z71&gt;Z72,E71,E72))</f>
        <v/>
      </c>
      <c r="Y71" s="170" t="str">
        <f>IF(F71="","",IF(Z71&lt;Z72,E71,E72))</f>
        <v/>
      </c>
      <c r="Z71" s="92">
        <f>(F71&gt;F72)+(G71&gt;G72)+(H71&gt;H72)+(I71&gt;I72)+(J71&gt;J72)</f>
        <v>0</v>
      </c>
      <c r="AA71" s="93">
        <f>Z72</f>
        <v>0</v>
      </c>
      <c r="AB71" s="92" t="str">
        <f t="shared" ref="AB71:AB72" si="4">IF(E71="","",SUM(F71:J71))</f>
        <v/>
      </c>
      <c r="AC71" s="93" t="str">
        <f>AB72</f>
        <v/>
      </c>
      <c r="AD71" s="94"/>
      <c r="AE71" s="185"/>
      <c r="AF71" s="138"/>
      <c r="AG71" s="103"/>
      <c r="AH71" s="93"/>
      <c r="AI71" s="92"/>
      <c r="AJ71" s="93"/>
    </row>
    <row r="72" spans="2:36" ht="24.95" customHeight="1" outlineLevel="1" thickBot="1" x14ac:dyDescent="0.3">
      <c r="B72" s="63"/>
      <c r="C72" s="188"/>
      <c r="D72" s="177"/>
      <c r="E72" s="95" t="str">
        <f>IF(H48=2,E48,"")</f>
        <v/>
      </c>
      <c r="F72" s="96"/>
      <c r="G72" s="97"/>
      <c r="H72" s="97"/>
      <c r="I72" s="97"/>
      <c r="J72" s="98"/>
      <c r="K72" s="89" t="str">
        <f>IF(X71="","",IF($X71=E72,"✓","✗"))</f>
        <v/>
      </c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89"/>
      <c r="X72" s="170"/>
      <c r="Y72" s="170"/>
      <c r="Z72" s="92">
        <f>(F71&lt;F72)+(G71&lt;G72)+(H71&lt;H72)+(I71&lt;I72)+(J71&lt;J72)</f>
        <v>0</v>
      </c>
      <c r="AA72" s="93">
        <f>Z71</f>
        <v>0</v>
      </c>
      <c r="AB72" s="92" t="str">
        <f t="shared" si="4"/>
        <v/>
      </c>
      <c r="AC72" s="93" t="str">
        <f>AB71</f>
        <v/>
      </c>
      <c r="AD72" s="94"/>
      <c r="AE72" s="185"/>
      <c r="AF72" s="138"/>
      <c r="AG72" s="103"/>
      <c r="AH72" s="93"/>
      <c r="AI72" s="92"/>
      <c r="AJ72" s="93"/>
    </row>
    <row r="73" spans="2:36" ht="24.75" customHeight="1" outlineLevel="1" x14ac:dyDescent="0.25">
      <c r="C73" s="188"/>
    </row>
    <row r="74" spans="2:36" ht="15" customHeight="1" x14ac:dyDescent="0.25">
      <c r="B74" s="151"/>
      <c r="C74" s="150"/>
      <c r="D74" s="65"/>
      <c r="E74" s="65"/>
      <c r="P74" s="65"/>
      <c r="Q74" s="65"/>
      <c r="R74" s="68"/>
      <c r="S74" s="68"/>
      <c r="T74" s="68"/>
      <c r="U74" s="68"/>
      <c r="V74" s="68"/>
      <c r="W74" s="68"/>
    </row>
    <row r="75" spans="2:36" ht="24.75" customHeight="1" x14ac:dyDescent="0.25"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</row>
    <row r="76" spans="2:36" ht="24.75" customHeight="1" x14ac:dyDescent="0.25"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</row>
    <row r="77" spans="2:36" ht="24.75" customHeight="1" x14ac:dyDescent="0.25"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</row>
    <row r="78" spans="2:36" ht="24.75" customHeight="1" x14ac:dyDescent="0.25"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</row>
    <row r="79" spans="2:36" ht="24.75" customHeight="1" x14ac:dyDescent="0.25"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</row>
    <row r="80" spans="2:36" ht="24.75" customHeight="1" x14ac:dyDescent="0.25"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</row>
    <row r="81" spans="3:15" ht="24.75" customHeight="1" x14ac:dyDescent="0.25"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</row>
    <row r="82" spans="3:15" ht="24.75" customHeight="1" x14ac:dyDescent="0.25"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</row>
    <row r="83" spans="3:15" ht="24.75" customHeight="1" x14ac:dyDescent="0.25"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</row>
    <row r="84" spans="3:15" ht="24.75" customHeight="1" x14ac:dyDescent="0.25"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</row>
    <row r="85" spans="3:15" ht="24.75" customHeight="1" x14ac:dyDescent="0.25"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</row>
    <row r="86" spans="3:15" ht="24.75" customHeight="1" x14ac:dyDescent="0.25"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</row>
    <row r="87" spans="3:15" ht="24.75" customHeight="1" x14ac:dyDescent="0.25"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</row>
    <row r="88" spans="3:15" ht="24.75" customHeight="1" x14ac:dyDescent="0.25"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</row>
    <row r="89" spans="3:15" ht="24.75" customHeight="1" x14ac:dyDescent="0.25"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</row>
    <row r="90" spans="3:15" ht="24.75" customHeight="1" x14ac:dyDescent="0.25"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</row>
    <row r="91" spans="3:15" ht="24.75" customHeight="1" x14ac:dyDescent="0.25"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</row>
    <row r="92" spans="3:15" ht="24.75" customHeight="1" x14ac:dyDescent="0.25"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</row>
    <row r="93" spans="3:15" ht="24.75" customHeight="1" x14ac:dyDescent="0.25"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</row>
    <row r="94" spans="3:15" ht="24.75" customHeight="1" x14ac:dyDescent="0.25"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</row>
    <row r="95" spans="3:15" ht="24.75" customHeight="1" x14ac:dyDescent="0.25"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</row>
    <row r="96" spans="3:15" ht="24.75" customHeight="1" x14ac:dyDescent="0.25"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</row>
    <row r="97" spans="3:15" ht="24.75" customHeight="1" x14ac:dyDescent="0.25"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</row>
    <row r="98" spans="3:15" ht="24.75" customHeight="1" x14ac:dyDescent="0.25"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</row>
    <row r="99" spans="3:15" ht="24.75" customHeight="1" x14ac:dyDescent="0.25"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</row>
    <row r="100" spans="3:15" ht="24.75" customHeight="1" x14ac:dyDescent="0.25"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</row>
    <row r="101" spans="3:15" ht="24.75" customHeight="1" x14ac:dyDescent="0.25"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</row>
    <row r="102" spans="3:15" ht="24.75" customHeight="1" x14ac:dyDescent="0.25"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</row>
    <row r="103" spans="3:15" ht="24.75" customHeight="1" x14ac:dyDescent="0.25"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</row>
    <row r="104" spans="3:15" ht="24.75" customHeight="1" x14ac:dyDescent="0.25"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</row>
    <row r="105" spans="3:15" ht="24.75" customHeight="1" x14ac:dyDescent="0.25"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</row>
    <row r="106" spans="3:15" ht="24.75" customHeight="1" x14ac:dyDescent="0.25"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</row>
    <row r="107" spans="3:15" ht="24.75" customHeight="1" x14ac:dyDescent="0.25"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</row>
    <row r="108" spans="3:15" ht="24.75" customHeight="1" x14ac:dyDescent="0.25"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</row>
    <row r="109" spans="3:15" ht="24.75" customHeight="1" x14ac:dyDescent="0.25"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</row>
    <row r="110" spans="3:15" ht="24.75" customHeight="1" x14ac:dyDescent="0.25"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</row>
    <row r="111" spans="3:15" ht="24.75" customHeight="1" x14ac:dyDescent="0.25"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</row>
    <row r="112" spans="3:15" ht="24.75" customHeight="1" x14ac:dyDescent="0.25"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</row>
    <row r="113" spans="3:15" ht="24.75" customHeight="1" x14ac:dyDescent="0.25"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</row>
    <row r="114" spans="3:15" ht="24.75" customHeight="1" x14ac:dyDescent="0.25"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</row>
    <row r="115" spans="3:15" ht="24.75" customHeight="1" x14ac:dyDescent="0.25"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</row>
    <row r="116" spans="3:15" ht="24.75" customHeight="1" x14ac:dyDescent="0.25"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</row>
    <row r="117" spans="3:15" ht="24.75" customHeight="1" x14ac:dyDescent="0.25"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</row>
    <row r="118" spans="3:15" ht="24.75" customHeight="1" x14ac:dyDescent="0.25"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</row>
    <row r="119" spans="3:15" ht="24.75" customHeight="1" x14ac:dyDescent="0.25"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</row>
    <row r="120" spans="3:15" ht="24.75" customHeight="1" x14ac:dyDescent="0.25"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</row>
    <row r="121" spans="3:15" ht="24.75" customHeight="1" x14ac:dyDescent="0.25"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</row>
    <row r="122" spans="3:15" ht="24.75" customHeight="1" x14ac:dyDescent="0.25"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</row>
    <row r="123" spans="3:15" ht="24.75" customHeight="1" x14ac:dyDescent="0.25"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</row>
    <row r="124" spans="3:15" ht="24.75" customHeight="1" x14ac:dyDescent="0.25"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</row>
    <row r="125" spans="3:15" ht="24.75" customHeight="1" x14ac:dyDescent="0.25"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</row>
    <row r="126" spans="3:15" ht="24.75" customHeight="1" x14ac:dyDescent="0.25"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</row>
    <row r="127" spans="3:15" ht="24.75" customHeight="1" x14ac:dyDescent="0.25"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</row>
    <row r="128" spans="3:15" ht="24.75" customHeight="1" x14ac:dyDescent="0.25"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</row>
    <row r="129" spans="3:15" ht="24.75" customHeight="1" x14ac:dyDescent="0.25"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</row>
    <row r="130" spans="3:15" ht="24.75" customHeight="1" x14ac:dyDescent="0.25"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</row>
    <row r="131" spans="3:15" ht="24.75" customHeight="1" x14ac:dyDescent="0.25"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</row>
    <row r="132" spans="3:15" ht="24.75" customHeight="1" x14ac:dyDescent="0.25"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</row>
    <row r="133" spans="3:15" ht="24.75" customHeight="1" x14ac:dyDescent="0.25"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</row>
    <row r="134" spans="3:15" ht="24.75" customHeight="1" x14ac:dyDescent="0.25"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</row>
    <row r="135" spans="3:15" ht="24.75" customHeight="1" x14ac:dyDescent="0.25"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</row>
    <row r="136" spans="3:15" ht="24.75" customHeight="1" x14ac:dyDescent="0.25"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</row>
    <row r="137" spans="3:15" ht="24.75" customHeight="1" x14ac:dyDescent="0.25"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</row>
    <row r="138" spans="3:15" ht="24.75" customHeight="1" x14ac:dyDescent="0.25"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</row>
    <row r="139" spans="3:15" ht="24.75" customHeight="1" x14ac:dyDescent="0.25"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</row>
    <row r="140" spans="3:15" ht="24.75" customHeight="1" x14ac:dyDescent="0.25"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</row>
    <row r="141" spans="3:15" ht="24.75" customHeight="1" x14ac:dyDescent="0.25"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</row>
    <row r="142" spans="3:15" ht="24.75" customHeight="1" x14ac:dyDescent="0.25"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</row>
    <row r="143" spans="3:15" ht="24.75" customHeight="1" x14ac:dyDescent="0.25"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</row>
    <row r="144" spans="3:15" ht="24.75" customHeight="1" x14ac:dyDescent="0.25"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</row>
    <row r="145" spans="3:15" ht="24.75" customHeight="1" x14ac:dyDescent="0.25"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</row>
    <row r="146" spans="3:15" ht="24.75" customHeight="1" x14ac:dyDescent="0.25"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</row>
    <row r="147" spans="3:15" ht="24.75" customHeight="1" x14ac:dyDescent="0.25"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</row>
    <row r="148" spans="3:15" ht="24.75" customHeight="1" x14ac:dyDescent="0.25"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</row>
    <row r="149" spans="3:15" ht="24.75" customHeight="1" x14ac:dyDescent="0.25"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</row>
    <row r="150" spans="3:15" ht="24.75" customHeight="1" x14ac:dyDescent="0.25"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</row>
    <row r="151" spans="3:15" ht="24.75" customHeight="1" x14ac:dyDescent="0.25"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</row>
    <row r="152" spans="3:15" ht="24.75" customHeight="1" x14ac:dyDescent="0.25"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</row>
    <row r="153" spans="3:15" ht="24.75" customHeight="1" x14ac:dyDescent="0.25"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</row>
    <row r="154" spans="3:15" ht="24.75" customHeight="1" x14ac:dyDescent="0.25"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</row>
    <row r="155" spans="3:15" ht="24.75" customHeight="1" x14ac:dyDescent="0.25"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</row>
    <row r="156" spans="3:15" ht="24.75" customHeight="1" x14ac:dyDescent="0.25"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</row>
    <row r="157" spans="3:15" ht="24.75" customHeight="1" x14ac:dyDescent="0.25"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</row>
    <row r="158" spans="3:15" ht="24.75" customHeight="1" x14ac:dyDescent="0.25"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</row>
    <row r="159" spans="3:15" ht="24.75" customHeight="1" x14ac:dyDescent="0.25"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</row>
    <row r="160" spans="3:15" ht="24.75" customHeight="1" x14ac:dyDescent="0.25"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</row>
    <row r="161" spans="3:15" ht="24.75" customHeight="1" x14ac:dyDescent="0.25"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</row>
    <row r="162" spans="3:15" ht="24.75" customHeight="1" x14ac:dyDescent="0.25"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</row>
    <row r="163" spans="3:15" ht="24.75" customHeight="1" x14ac:dyDescent="0.25"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</row>
    <row r="164" spans="3:15" ht="24.75" customHeight="1" x14ac:dyDescent="0.25"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</row>
    <row r="165" spans="3:15" ht="24.75" customHeight="1" x14ac:dyDescent="0.25"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</row>
    <row r="166" spans="3:15" ht="24.75" customHeight="1" x14ac:dyDescent="0.25"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</row>
    <row r="167" spans="3:15" ht="24.75" customHeight="1" x14ac:dyDescent="0.25"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</row>
    <row r="168" spans="3:15" ht="24.75" customHeight="1" x14ac:dyDescent="0.25"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</row>
    <row r="169" spans="3:15" ht="24.75" customHeight="1" x14ac:dyDescent="0.25"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</row>
    <row r="170" spans="3:15" ht="24.75" customHeight="1" x14ac:dyDescent="0.25"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</row>
    <row r="171" spans="3:15" ht="24.75" customHeight="1" x14ac:dyDescent="0.25"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</row>
    <row r="172" spans="3:15" ht="24.75" customHeight="1" x14ac:dyDescent="0.25"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</row>
    <row r="173" spans="3:15" ht="24.75" customHeight="1" x14ac:dyDescent="0.25"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</row>
    <row r="174" spans="3:15" ht="24.75" customHeight="1" x14ac:dyDescent="0.25"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</row>
    <row r="175" spans="3:15" ht="24.75" customHeight="1" x14ac:dyDescent="0.25"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</row>
    <row r="176" spans="3:15" ht="24.75" customHeight="1" x14ac:dyDescent="0.25"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</row>
    <row r="177" spans="3:15" ht="24.75" customHeight="1" x14ac:dyDescent="0.25"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</row>
    <row r="178" spans="3:15" ht="24.75" customHeight="1" x14ac:dyDescent="0.25"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</row>
    <row r="179" spans="3:15" ht="24.75" customHeight="1" x14ac:dyDescent="0.25"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</row>
    <row r="180" spans="3:15" ht="24.75" customHeight="1" x14ac:dyDescent="0.25"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</row>
    <row r="181" spans="3:15" ht="24.75" customHeight="1" x14ac:dyDescent="0.25"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</row>
    <row r="182" spans="3:15" ht="24.75" customHeight="1" x14ac:dyDescent="0.25"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</row>
  </sheetData>
  <mergeCells count="92">
    <mergeCell ref="AF23:AF24"/>
    <mergeCell ref="AF26:AF27"/>
    <mergeCell ref="AF29:AF30"/>
    <mergeCell ref="Y29:Y30"/>
    <mergeCell ref="Y61:Y62"/>
    <mergeCell ref="AE23:AE24"/>
    <mergeCell ref="AE26:AE27"/>
    <mergeCell ref="AE29:AE30"/>
    <mergeCell ref="AB21:AC21"/>
    <mergeCell ref="X21:X22"/>
    <mergeCell ref="X23:X24"/>
    <mergeCell ref="X26:X27"/>
    <mergeCell ref="Y23:Y24"/>
    <mergeCell ref="Y26:Y27"/>
    <mergeCell ref="AE17:AJ18"/>
    <mergeCell ref="Z21:AA21"/>
    <mergeCell ref="AG21:AH21"/>
    <mergeCell ref="AI21:AJ21"/>
    <mergeCell ref="AE21:AE22"/>
    <mergeCell ref="AF21:AF22"/>
    <mergeCell ref="N37:P37"/>
    <mergeCell ref="K37:M37"/>
    <mergeCell ref="X17:AC18"/>
    <mergeCell ref="Y21:Y22"/>
    <mergeCell ref="G37:G38"/>
    <mergeCell ref="D23:D24"/>
    <mergeCell ref="D26:D27"/>
    <mergeCell ref="D29:D30"/>
    <mergeCell ref="X29:X30"/>
    <mergeCell ref="E10:H10"/>
    <mergeCell ref="E11:H11"/>
    <mergeCell ref="E12:H12"/>
    <mergeCell ref="Q10:T10"/>
    <mergeCell ref="Q11:T11"/>
    <mergeCell ref="Q12:T12"/>
    <mergeCell ref="C35:C51"/>
    <mergeCell ref="E48:F48"/>
    <mergeCell ref="E49:F49"/>
    <mergeCell ref="E50:F50"/>
    <mergeCell ref="C17:C31"/>
    <mergeCell ref="D35:P35"/>
    <mergeCell ref="D44:P44"/>
    <mergeCell ref="D46:F47"/>
    <mergeCell ref="D37:F38"/>
    <mergeCell ref="E39:F39"/>
    <mergeCell ref="E40:F40"/>
    <mergeCell ref="E41:F41"/>
    <mergeCell ref="H37:J37"/>
    <mergeCell ref="AF67:AF68"/>
    <mergeCell ref="C2:W4"/>
    <mergeCell ref="H46:J46"/>
    <mergeCell ref="K46:M46"/>
    <mergeCell ref="N46:P46"/>
    <mergeCell ref="F20:J20"/>
    <mergeCell ref="E20:E21"/>
    <mergeCell ref="E17:J18"/>
    <mergeCell ref="Q17:V18"/>
    <mergeCell ref="Q20:Q21"/>
    <mergeCell ref="R20:V20"/>
    <mergeCell ref="C7:C13"/>
    <mergeCell ref="E8:H8"/>
    <mergeCell ref="E9:H9"/>
    <mergeCell ref="Q8:T8"/>
    <mergeCell ref="Q9:T9"/>
    <mergeCell ref="C55:C73"/>
    <mergeCell ref="E58:E59"/>
    <mergeCell ref="F58:J58"/>
    <mergeCell ref="E55:J56"/>
    <mergeCell ref="AE67:AE68"/>
    <mergeCell ref="AE55:AJ56"/>
    <mergeCell ref="X59:X60"/>
    <mergeCell ref="Z59:AA59"/>
    <mergeCell ref="AB59:AC59"/>
    <mergeCell ref="Y59:Y60"/>
    <mergeCell ref="AF59:AF60"/>
    <mergeCell ref="AI59:AJ59"/>
    <mergeCell ref="Y71:Y72"/>
    <mergeCell ref="AE59:AE60"/>
    <mergeCell ref="AG59:AH59"/>
    <mergeCell ref="G46:G47"/>
    <mergeCell ref="D71:D72"/>
    <mergeCell ref="D61:D62"/>
    <mergeCell ref="Q55:V56"/>
    <mergeCell ref="Q64:Q65"/>
    <mergeCell ref="R64:V64"/>
    <mergeCell ref="X71:X72"/>
    <mergeCell ref="AE69:AE70"/>
    <mergeCell ref="AE71:AE72"/>
    <mergeCell ref="X61:X62"/>
    <mergeCell ref="AE61:AE62"/>
    <mergeCell ref="AE64:AE65"/>
    <mergeCell ref="X55:AC56"/>
  </mergeCells>
  <conditionalFormatting sqref="K23">
    <cfRule type="cellIs" dxfId="55" priority="211" operator="equal">
      <formula>"✗"</formula>
    </cfRule>
    <cfRule type="cellIs" dxfId="54" priority="212" operator="equal">
      <formula>"✓"</formula>
    </cfRule>
  </conditionalFormatting>
  <conditionalFormatting sqref="K24">
    <cfRule type="cellIs" dxfId="53" priority="209" operator="equal">
      <formula>"✗"</formula>
    </cfRule>
    <cfRule type="cellIs" dxfId="52" priority="210" operator="equal">
      <formula>"✓"</formula>
    </cfRule>
  </conditionalFormatting>
  <conditionalFormatting sqref="K26">
    <cfRule type="cellIs" dxfId="51" priority="207" operator="equal">
      <formula>"✗"</formula>
    </cfRule>
    <cfRule type="cellIs" dxfId="50" priority="208" operator="equal">
      <formula>"✓"</formula>
    </cfRule>
  </conditionalFormatting>
  <conditionalFormatting sqref="K27">
    <cfRule type="cellIs" dxfId="49" priority="205" operator="equal">
      <formula>"✗"</formula>
    </cfRule>
    <cfRule type="cellIs" dxfId="48" priority="206" operator="equal">
      <formula>"✓"</formula>
    </cfRule>
  </conditionalFormatting>
  <conditionalFormatting sqref="K29">
    <cfRule type="cellIs" dxfId="47" priority="203" operator="equal">
      <formula>"✗"</formula>
    </cfRule>
    <cfRule type="cellIs" dxfId="46" priority="204" operator="equal">
      <formula>"✓"</formula>
    </cfRule>
  </conditionalFormatting>
  <conditionalFormatting sqref="K30">
    <cfRule type="cellIs" dxfId="45" priority="201" operator="equal">
      <formula>"✗"</formula>
    </cfRule>
    <cfRule type="cellIs" dxfId="44" priority="202" operator="equal">
      <formula>"✓"</formula>
    </cfRule>
  </conditionalFormatting>
  <conditionalFormatting sqref="W23">
    <cfRule type="cellIs" dxfId="43" priority="187" operator="equal">
      <formula>"✗"</formula>
    </cfRule>
    <cfRule type="cellIs" dxfId="42" priority="188" operator="equal">
      <formula>"✓"</formula>
    </cfRule>
  </conditionalFormatting>
  <conditionalFormatting sqref="W62:W63">
    <cfRule type="cellIs" dxfId="41" priority="79" operator="equal">
      <formula>"✗"</formula>
    </cfRule>
    <cfRule type="cellIs" dxfId="40" priority="80" operator="equal">
      <formula>"✓"</formula>
    </cfRule>
  </conditionalFormatting>
  <conditionalFormatting sqref="W64">
    <cfRule type="cellIs" dxfId="39" priority="77" operator="equal">
      <formula>"✗"</formula>
    </cfRule>
    <cfRule type="cellIs" dxfId="38" priority="78" operator="equal">
      <formula>"✓"</formula>
    </cfRule>
  </conditionalFormatting>
  <conditionalFormatting sqref="W24">
    <cfRule type="cellIs" dxfId="37" priority="163" operator="equal">
      <formula>"✗"</formula>
    </cfRule>
    <cfRule type="cellIs" dxfId="36" priority="164" operator="equal">
      <formula>"✓"</formula>
    </cfRule>
  </conditionalFormatting>
  <conditionalFormatting sqref="W26">
    <cfRule type="cellIs" dxfId="35" priority="161" operator="equal">
      <formula>"✗"</formula>
    </cfRule>
    <cfRule type="cellIs" dxfId="34" priority="162" operator="equal">
      <formula>"✓"</formula>
    </cfRule>
  </conditionalFormatting>
  <conditionalFormatting sqref="W27">
    <cfRule type="cellIs" dxfId="33" priority="159" operator="equal">
      <formula>"✗"</formula>
    </cfRule>
    <cfRule type="cellIs" dxfId="32" priority="160" operator="equal">
      <formula>"✓"</formula>
    </cfRule>
  </conditionalFormatting>
  <conditionalFormatting sqref="W29">
    <cfRule type="cellIs" dxfId="31" priority="157" operator="equal">
      <formula>"✗"</formula>
    </cfRule>
    <cfRule type="cellIs" dxfId="30" priority="158" operator="equal">
      <formula>"✓"</formula>
    </cfRule>
  </conditionalFormatting>
  <conditionalFormatting sqref="W30">
    <cfRule type="cellIs" dxfId="29" priority="155" operator="equal">
      <formula>"✗"</formula>
    </cfRule>
    <cfRule type="cellIs" dxfId="28" priority="156" operator="equal">
      <formula>"✓"</formula>
    </cfRule>
  </conditionalFormatting>
  <conditionalFormatting sqref="K69">
    <cfRule type="cellIs" dxfId="27" priority="97" operator="equal">
      <formula>"✗"</formula>
    </cfRule>
    <cfRule type="cellIs" dxfId="26" priority="98" operator="equal">
      <formula>"✓"</formula>
    </cfRule>
  </conditionalFormatting>
  <conditionalFormatting sqref="K70">
    <cfRule type="cellIs" dxfId="25" priority="95" operator="equal">
      <formula>"✗"</formula>
    </cfRule>
    <cfRule type="cellIs" dxfId="24" priority="96" operator="equal">
      <formula>"✓"</formula>
    </cfRule>
  </conditionalFormatting>
  <conditionalFormatting sqref="K64">
    <cfRule type="cellIs" dxfId="23" priority="101" operator="equal">
      <formula>"✗"</formula>
    </cfRule>
    <cfRule type="cellIs" dxfId="22" priority="102" operator="equal">
      <formula>"✓"</formula>
    </cfRule>
  </conditionalFormatting>
  <conditionalFormatting sqref="K65:K67">
    <cfRule type="cellIs" dxfId="21" priority="99" operator="equal">
      <formula>"✗"</formula>
    </cfRule>
    <cfRule type="cellIs" dxfId="20" priority="100" operator="equal">
      <formula>"✓"</formula>
    </cfRule>
  </conditionalFormatting>
  <conditionalFormatting sqref="W61">
    <cfRule type="cellIs" dxfId="19" priority="81" operator="equal">
      <formula>"✗"</formula>
    </cfRule>
    <cfRule type="cellIs" dxfId="18" priority="82" operator="equal">
      <formula>"✓"</formula>
    </cfRule>
  </conditionalFormatting>
  <conditionalFormatting sqref="W65:W67">
    <cfRule type="cellIs" dxfId="17" priority="75" operator="equal">
      <formula>"✗"</formula>
    </cfRule>
    <cfRule type="cellIs" dxfId="16" priority="76" operator="equal">
      <formula>"✓"</formula>
    </cfRule>
  </conditionalFormatting>
  <conditionalFormatting sqref="W69">
    <cfRule type="cellIs" dxfId="15" priority="73" operator="equal">
      <formula>"✗"</formula>
    </cfRule>
    <cfRule type="cellIs" dxfId="14" priority="74" operator="equal">
      <formula>"✓"</formula>
    </cfRule>
  </conditionalFormatting>
  <conditionalFormatting sqref="W70">
    <cfRule type="cellIs" dxfId="13" priority="71" operator="equal">
      <formula>"✗"</formula>
    </cfRule>
    <cfRule type="cellIs" dxfId="12" priority="72" operator="equal">
      <formula>"✓"</formula>
    </cfRule>
  </conditionalFormatting>
  <conditionalFormatting sqref="W71">
    <cfRule type="cellIs" dxfId="11" priority="69" operator="equal">
      <formula>"✗"</formula>
    </cfRule>
    <cfRule type="cellIs" dxfId="10" priority="70" operator="equal">
      <formula>"✓"</formula>
    </cfRule>
  </conditionalFormatting>
  <conditionalFormatting sqref="W72">
    <cfRule type="cellIs" dxfId="9" priority="67" operator="equal">
      <formula>"✗"</formula>
    </cfRule>
    <cfRule type="cellIs" dxfId="8" priority="68" operator="equal">
      <formula>"✓"</formula>
    </cfRule>
  </conditionalFormatting>
  <conditionalFormatting sqref="K61">
    <cfRule type="cellIs" dxfId="7" priority="7" operator="equal">
      <formula>"✗"</formula>
    </cfRule>
    <cfRule type="cellIs" dxfId="6" priority="8" operator="equal">
      <formula>"✓"</formula>
    </cfRule>
  </conditionalFormatting>
  <conditionalFormatting sqref="K62:K63">
    <cfRule type="cellIs" dxfId="5" priority="5" operator="equal">
      <formula>"✗"</formula>
    </cfRule>
    <cfRule type="cellIs" dxfId="4" priority="6" operator="equal">
      <formula>"✓"</formula>
    </cfRule>
  </conditionalFormatting>
  <conditionalFormatting sqref="K71">
    <cfRule type="cellIs" dxfId="3" priority="3" operator="equal">
      <formula>"✗"</formula>
    </cfRule>
    <cfRule type="cellIs" dxfId="2" priority="4" operator="equal">
      <formula>"✓"</formula>
    </cfRule>
  </conditionalFormatting>
  <conditionalFormatting sqref="K72">
    <cfRule type="cellIs" dxfId="1" priority="1" operator="equal">
      <formula>"✗"</formula>
    </cfRule>
    <cfRule type="cellIs" dxfId="0" priority="2" operator="equal">
      <formula>"✓"</formula>
    </cfRule>
  </conditionalFormatting>
  <pageMargins left="0.16666666666666666" right="5.2083333333333336E-2" top="0.424375" bottom="6.25E-2" header="0.3" footer="0.3"/>
  <pageSetup paperSize="8" scale="69" orientation="landscape" r:id="rId1"/>
  <rowBreaks count="1" manualBreakCount="1">
    <brk id="32" max="35" man="1"/>
  </rowBreaks>
  <colBreaks count="1" manualBreakCount="1">
    <brk id="23" min="1" max="172" man="1"/>
  </colBreaks>
  <ignoredErrors>
    <ignoredError sqref="AB23:AB30 AI23:AI30 AB66:AB68 AB61:AB62 AB71:AB72 AI67:AI6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rYSubirAGitHub">
                <anchor moveWithCells="1" sizeWithCells="1">
                  <from>
                    <xdr:col>10</xdr:col>
                    <xdr:colOff>0</xdr:colOff>
                    <xdr:row>7</xdr:row>
                    <xdr:rowOff>9525</xdr:rowOff>
                  </from>
                  <to>
                    <xdr:col>14</xdr:col>
                    <xdr:colOff>28575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AD33"/>
  <sheetViews>
    <sheetView workbookViewId="0">
      <selection activeCell="A20" sqref="A20"/>
    </sheetView>
  </sheetViews>
  <sheetFormatPr baseColWidth="10" defaultRowHeight="15" outlineLevelRow="1" x14ac:dyDescent="0.25"/>
  <cols>
    <col min="2" max="2" width="20.28515625" bestFit="1" customWidth="1"/>
    <col min="3" max="3" width="23" bestFit="1" customWidth="1"/>
    <col min="4" max="4" width="13.28515625" bestFit="1" customWidth="1"/>
    <col min="5" max="5" width="14" bestFit="1" customWidth="1"/>
    <col min="6" max="7" width="11.42578125" customWidth="1"/>
    <col min="9" max="9" width="11.42578125" style="129"/>
    <col min="27" max="27" width="11.85546875" bestFit="1" customWidth="1"/>
    <col min="28" max="28" width="11.85546875" customWidth="1"/>
  </cols>
  <sheetData>
    <row r="1" spans="2:27" x14ac:dyDescent="0.25">
      <c r="I1" s="131"/>
    </row>
    <row r="2" spans="2:27" ht="15.75" thickBot="1" x14ac:dyDescent="0.3">
      <c r="I2" s="131"/>
    </row>
    <row r="3" spans="2:27" outlineLevel="1" x14ac:dyDescent="0.25">
      <c r="C3" s="227" t="s">
        <v>45</v>
      </c>
      <c r="D3" s="228"/>
    </row>
    <row r="4" spans="2:27" ht="15.75" outlineLevel="1" thickBot="1" x14ac:dyDescent="0.3">
      <c r="C4" s="229"/>
      <c r="D4" s="230"/>
      <c r="I4" s="131"/>
    </row>
    <row r="5" spans="2:27" ht="15.75" outlineLevel="1" thickBot="1" x14ac:dyDescent="0.3">
      <c r="C5" s="149" t="s">
        <v>3</v>
      </c>
      <c r="D5" s="148" t="s">
        <v>46</v>
      </c>
      <c r="I5" s="131"/>
    </row>
    <row r="6" spans="2:27" outlineLevel="1" x14ac:dyDescent="0.25">
      <c r="C6" s="142" t="str">
        <f>'Liguilla Navidad 2025'!E9</f>
        <v>PELÓN / NUNES</v>
      </c>
      <c r="D6" s="143" t="s">
        <v>17</v>
      </c>
      <c r="I6" s="131"/>
    </row>
    <row r="7" spans="2:27" outlineLevel="1" x14ac:dyDescent="0.25">
      <c r="C7" s="144" t="str">
        <f>'Liguilla Navidad 2025'!E10</f>
        <v>MANOLO / JOSÉ</v>
      </c>
      <c r="D7" s="145" t="s">
        <v>18</v>
      </c>
      <c r="I7" s="131"/>
    </row>
    <row r="8" spans="2:27" outlineLevel="1" x14ac:dyDescent="0.25">
      <c r="C8" s="144" t="str">
        <f>'Liguilla Navidad 2025'!E11</f>
        <v>CARLOS / QUINTANA</v>
      </c>
      <c r="D8" s="145" t="s">
        <v>19</v>
      </c>
      <c r="I8" s="131"/>
    </row>
    <row r="9" spans="2:27" outlineLevel="1" x14ac:dyDescent="0.25">
      <c r="C9" s="144" t="str">
        <f>'Liguilla Navidad 2025'!Q9</f>
        <v>JAIME / CAPÓN</v>
      </c>
      <c r="D9" s="145" t="s">
        <v>22</v>
      </c>
      <c r="I9" s="131"/>
    </row>
    <row r="10" spans="2:27" outlineLevel="1" x14ac:dyDescent="0.25">
      <c r="C10" s="144" t="str">
        <f>'Liguilla Navidad 2025'!Q10</f>
        <v>TOLEDO / JUAN</v>
      </c>
      <c r="D10" s="145" t="s">
        <v>23</v>
      </c>
      <c r="I10" s="131"/>
    </row>
    <row r="11" spans="2:27" ht="15.75" outlineLevel="1" thickBot="1" x14ac:dyDescent="0.3">
      <c r="C11" s="146" t="str">
        <f>'Liguilla Navidad 2025'!Q11</f>
        <v>JAVI / DIEGO</v>
      </c>
      <c r="D11" s="147" t="s">
        <v>24</v>
      </c>
      <c r="I11" s="131"/>
    </row>
    <row r="12" spans="2:27" outlineLevel="1" x14ac:dyDescent="0.25">
      <c r="I12" s="131"/>
    </row>
    <row r="13" spans="2:27" x14ac:dyDescent="0.25">
      <c r="I13" s="131"/>
    </row>
    <row r="14" spans="2:27" ht="15" customHeight="1" outlineLevel="1" x14ac:dyDescent="0.25">
      <c r="B14" s="231" t="str">
        <f>'Liguilla Navidad 2025'!E8</f>
        <v>GRUPO Z</v>
      </c>
      <c r="C14" s="231"/>
      <c r="D14" s="231"/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1"/>
      <c r="V14" s="231"/>
      <c r="W14" s="231"/>
      <c r="X14" s="231"/>
      <c r="Y14" s="231"/>
      <c r="Z14" s="231"/>
      <c r="AA14" s="231"/>
    </row>
    <row r="15" spans="2:27" ht="15.75" customHeight="1" outlineLevel="1" thickBot="1" x14ac:dyDescent="0.3">
      <c r="B15" s="232"/>
      <c r="C15" s="232"/>
      <c r="D15" s="232"/>
      <c r="E15" s="232"/>
      <c r="F15" s="232"/>
      <c r="G15" s="232"/>
      <c r="H15" s="232"/>
      <c r="I15" s="232"/>
      <c r="J15" s="232"/>
      <c r="K15" s="232"/>
      <c r="L15" s="232"/>
      <c r="M15" s="232"/>
      <c r="N15" s="232"/>
      <c r="O15" s="232"/>
      <c r="P15" s="232"/>
      <c r="Q15" s="232"/>
      <c r="R15" s="232"/>
      <c r="S15" s="232"/>
      <c r="T15" s="232"/>
      <c r="U15" s="232"/>
      <c r="V15" s="232"/>
      <c r="W15" s="232"/>
      <c r="X15" s="232"/>
      <c r="Y15" s="232"/>
      <c r="Z15" s="232"/>
      <c r="AA15" s="232"/>
    </row>
    <row r="16" spans="2:27" ht="15" customHeight="1" outlineLevel="1" thickBot="1" x14ac:dyDescent="0.3">
      <c r="B16" s="265" t="s">
        <v>8</v>
      </c>
      <c r="C16" s="235" t="s">
        <v>3</v>
      </c>
      <c r="D16" s="235" t="s">
        <v>44</v>
      </c>
      <c r="E16" s="270" t="s">
        <v>42</v>
      </c>
      <c r="F16" s="243" t="s">
        <v>4</v>
      </c>
      <c r="G16" s="244"/>
      <c r="H16" s="245"/>
      <c r="I16" s="249" t="s">
        <v>30</v>
      </c>
      <c r="J16" s="250"/>
      <c r="K16" s="251"/>
      <c r="L16" s="260" t="s">
        <v>37</v>
      </c>
      <c r="M16" s="238" t="s">
        <v>36</v>
      </c>
      <c r="N16" s="239"/>
      <c r="O16" s="239"/>
      <c r="P16" s="239"/>
      <c r="Q16" s="239"/>
      <c r="R16" s="239"/>
      <c r="S16" s="240"/>
      <c r="T16" s="257" t="s">
        <v>31</v>
      </c>
      <c r="U16" s="258"/>
      <c r="V16" s="258"/>
      <c r="W16" s="258"/>
      <c r="X16" s="258"/>
      <c r="Y16" s="258"/>
      <c r="Z16" s="269"/>
      <c r="AA16" s="262" t="s">
        <v>5</v>
      </c>
    </row>
    <row r="17" spans="2:30" ht="15" customHeight="1" outlineLevel="1" thickBot="1" x14ac:dyDescent="0.3">
      <c r="B17" s="266"/>
      <c r="C17" s="236"/>
      <c r="D17" s="236"/>
      <c r="E17" s="271"/>
      <c r="F17" s="246"/>
      <c r="G17" s="247"/>
      <c r="H17" s="248"/>
      <c r="I17" s="252"/>
      <c r="J17" s="253"/>
      <c r="K17" s="254"/>
      <c r="L17" s="261"/>
      <c r="M17" s="238" t="s">
        <v>28</v>
      </c>
      <c r="N17" s="239"/>
      <c r="O17" s="241"/>
      <c r="P17" s="242" t="s">
        <v>29</v>
      </c>
      <c r="Q17" s="239"/>
      <c r="R17" s="240"/>
      <c r="S17" s="255" t="s">
        <v>32</v>
      </c>
      <c r="T17" s="257" t="s">
        <v>28</v>
      </c>
      <c r="U17" s="258"/>
      <c r="V17" s="259"/>
      <c r="W17" s="268" t="s">
        <v>29</v>
      </c>
      <c r="X17" s="258"/>
      <c r="Y17" s="269"/>
      <c r="Z17" s="273" t="s">
        <v>32</v>
      </c>
      <c r="AA17" s="263"/>
    </row>
    <row r="18" spans="2:30" ht="15.75" outlineLevel="1" thickBot="1" x14ac:dyDescent="0.3">
      <c r="B18" s="267"/>
      <c r="C18" s="237"/>
      <c r="D18" s="237"/>
      <c r="E18" s="272"/>
      <c r="F18" s="30" t="s">
        <v>0</v>
      </c>
      <c r="G18" s="31" t="s">
        <v>1</v>
      </c>
      <c r="H18" s="41" t="s">
        <v>11</v>
      </c>
      <c r="I18" s="35" t="s">
        <v>0</v>
      </c>
      <c r="J18" s="36" t="s">
        <v>1</v>
      </c>
      <c r="K18" s="40" t="s">
        <v>11</v>
      </c>
      <c r="L18" s="55" t="s">
        <v>11</v>
      </c>
      <c r="M18" s="30" t="s">
        <v>0</v>
      </c>
      <c r="N18" s="31" t="s">
        <v>1</v>
      </c>
      <c r="O18" s="32" t="s">
        <v>11</v>
      </c>
      <c r="P18" s="33" t="s">
        <v>0</v>
      </c>
      <c r="Q18" s="31" t="s">
        <v>1</v>
      </c>
      <c r="R18" s="34" t="s">
        <v>11</v>
      </c>
      <c r="S18" s="256"/>
      <c r="T18" s="35" t="s">
        <v>0</v>
      </c>
      <c r="U18" s="36" t="s">
        <v>1</v>
      </c>
      <c r="V18" s="37" t="s">
        <v>11</v>
      </c>
      <c r="W18" s="38" t="s">
        <v>0</v>
      </c>
      <c r="X18" s="36" t="s">
        <v>1</v>
      </c>
      <c r="Y18" s="39" t="s">
        <v>11</v>
      </c>
      <c r="Z18" s="274"/>
      <c r="AA18" s="264"/>
      <c r="AB18" s="1"/>
      <c r="AC18" s="1"/>
      <c r="AD18" s="1"/>
    </row>
    <row r="19" spans="2:30" outlineLevel="1" x14ac:dyDescent="0.25">
      <c r="B19" s="52">
        <f>_xlfn.RANK.EQ(AA19,$AA$19:$AA$21)</f>
        <v>2</v>
      </c>
      <c r="C19" s="59" t="str">
        <f>'Liguilla Navidad 2025'!E9</f>
        <v>PELÓN / NUNES</v>
      </c>
      <c r="D19" s="59" t="s">
        <v>17</v>
      </c>
      <c r="E19" s="134">
        <f>K19*3</f>
        <v>0</v>
      </c>
      <c r="F19" s="42">
        <f>COUNTIFS('Liguilla Navidad 2025'!$F$23:$F$30,"&lt;&gt;",'Liguilla Navidad 2025'!$E$23:$E$30,'Cálculos Pádel 2025'!C19)</f>
        <v>0</v>
      </c>
      <c r="G19" s="43">
        <f>COUNTIFS('Liguilla Navidad 2025'!$R$23:$R$30,"&lt;&gt;",'Liguilla Navidad 2025'!$Q$23:$Q$30,'Cálculos Pádel 2025'!C19)</f>
        <v>0</v>
      </c>
      <c r="H19" s="155">
        <f>SUM(F19:G19)</f>
        <v>0</v>
      </c>
      <c r="I19" s="156">
        <f>COUNTIF('Liguilla Navidad 2025'!$X$23:$X$30,'Cálculos Pádel 2025'!C19)</f>
        <v>0</v>
      </c>
      <c r="J19" s="157">
        <f>COUNTIF('Liguilla Navidad 2025'!$AE$23:$AE$30,'Cálculos Pádel 2025'!C19)</f>
        <v>0</v>
      </c>
      <c r="K19" s="158">
        <f>SUM(I19:J19)</f>
        <v>0</v>
      </c>
      <c r="L19" s="52">
        <f>IF(H19=K19,0,IF(H19&gt;K19,H19-K19))</f>
        <v>0</v>
      </c>
      <c r="M19" s="42">
        <f>SUMIFS('Liguilla Navidad 2025'!$Z$23:$Z$30,'Liguilla Navidad 2025'!$E$23:$E$30,'Cálculos Pádel 2025'!C19)</f>
        <v>0</v>
      </c>
      <c r="N19" s="43">
        <f>SUMIFS('Liguilla Navidad 2025'!$AG$23:$AG$30,'Liguilla Navidad 2025'!$Q$23:$Q$30,'Cálculos Pádel 2025'!C19)</f>
        <v>0</v>
      </c>
      <c r="O19" s="44">
        <f>SUM(M19:N19)</f>
        <v>0</v>
      </c>
      <c r="P19" s="45">
        <f>SUMIFS('Liguilla Navidad 2025'!$AA$23:$AA$30,'Liguilla Navidad 2025'!$E$23:$E$30,'Cálculos Pádel 2025'!C19)</f>
        <v>0</v>
      </c>
      <c r="Q19" s="43">
        <f>SUMIFS('Liguilla Navidad 2025'!$AH$23:$AH$30,'Liguilla Navidad 2025'!$Q$23:$Q$30,'Cálculos Pádel 2025'!C19)</f>
        <v>0</v>
      </c>
      <c r="R19" s="46">
        <f>SUM(P19:Q19)</f>
        <v>0</v>
      </c>
      <c r="S19" s="50">
        <f>O19-R19</f>
        <v>0</v>
      </c>
      <c r="T19" s="156">
        <f>SUMIFS('Liguilla Navidad 2025'!$AB$23:$AB$30,'Liguilla Navidad 2025'!$E$23:$E$30,'Cálculos Pádel 2025'!C19)</f>
        <v>0</v>
      </c>
      <c r="U19" s="157">
        <f>SUMIFS('Liguilla Navidad 2025'!$AI$23:$AI$30,'Liguilla Navidad 2025'!$Q$23:$Q$30,'Cálculos Pádel 2025'!C19)</f>
        <v>0</v>
      </c>
      <c r="V19" s="159">
        <f>SUM(T19:U19)</f>
        <v>0</v>
      </c>
      <c r="W19" s="160">
        <f>SUMIFS('Liguilla Navidad 2025'!$AC$23:$AC$30,'Liguilla Navidad 2025'!$E$23:$E$30,'Cálculos Pádel 2025'!C19)</f>
        <v>0</v>
      </c>
      <c r="X19" s="157">
        <f>SUMIFS('Liguilla Navidad 2025'!$AJ$23:$AJ$30,'Liguilla Navidad 2025'!$Q$23:$Q$30,'Cálculos Pádel 2025'!C19)</f>
        <v>0</v>
      </c>
      <c r="Y19" s="161">
        <f>SUM(W19:X19)</f>
        <v>0</v>
      </c>
      <c r="Z19" s="162">
        <f>V19-Y19</f>
        <v>0</v>
      </c>
      <c r="AA19" s="164">
        <f>+K19*100+(S19/100+(Z19/100)-ROW()/10000)</f>
        <v>-1.9E-3</v>
      </c>
    </row>
    <row r="20" spans="2:30" outlineLevel="1" x14ac:dyDescent="0.25">
      <c r="B20" s="53">
        <f>_xlfn.RANK.EQ(AA20,$AA$19:$AA$21)</f>
        <v>1</v>
      </c>
      <c r="C20" s="16" t="str">
        <f>'Liguilla Navidad 2025'!E10</f>
        <v>MANOLO / JOSÉ</v>
      </c>
      <c r="D20" s="15" t="s">
        <v>18</v>
      </c>
      <c r="E20" s="135">
        <f t="shared" ref="E20:E21" si="0">K20*3</f>
        <v>3</v>
      </c>
      <c r="F20" s="9">
        <f>COUNTIFS('Liguilla Navidad 2025'!$F$23:$F$30,"&lt;&gt;",'Liguilla Navidad 2025'!$E$23:$E$30,'Cálculos Pádel 2025'!C20)</f>
        <v>1</v>
      </c>
      <c r="G20" s="10">
        <f>COUNTIFS('Liguilla Navidad 2025'!$R$23:$R$30,"&lt;&gt;",'Liguilla Navidad 2025'!$Q$23:$Q$30,'Cálculos Pádel 2025'!C20)</f>
        <v>0</v>
      </c>
      <c r="H20" s="11">
        <f t="shared" ref="H20:H21" si="1">SUM(F20:G20)</f>
        <v>1</v>
      </c>
      <c r="I20" s="3">
        <f>COUNTIF('Liguilla Navidad 2025'!$X$23:$X$30,'Cálculos Pádel 2025'!C20)</f>
        <v>1</v>
      </c>
      <c r="J20" s="2">
        <f>COUNTIF('Liguilla Navidad 2025'!$AE$23:$AE$30,'Cálculos Pádel 2025'!C20)</f>
        <v>0</v>
      </c>
      <c r="K20" s="6">
        <f t="shared" ref="K20:K21" si="2">SUM(I20:J20)</f>
        <v>1</v>
      </c>
      <c r="L20" s="53">
        <f t="shared" ref="L20:L21" si="3">IF(H20=K20,0,IF(H20&gt;K20,H20-K20))</f>
        <v>0</v>
      </c>
      <c r="M20" s="9">
        <f>SUMIFS('Liguilla Navidad 2025'!$Z$23:$Z$30,'Liguilla Navidad 2025'!$E$23:$E$30,'Cálculos Pádel 2025'!C20)</f>
        <v>2</v>
      </c>
      <c r="N20" s="10">
        <f>SUMIFS('Liguilla Navidad 2025'!$AG$23:$AG$30,'Liguilla Navidad 2025'!$Q$23:$Q$30,'Cálculos Pádel 2025'!C20)</f>
        <v>0</v>
      </c>
      <c r="O20" s="18">
        <f t="shared" ref="O20:O21" si="4">SUM(M20:N20)</f>
        <v>2</v>
      </c>
      <c r="P20" s="20">
        <f>SUMIFS('Liguilla Navidad 2025'!$AA$23:$AA$30,'Liguilla Navidad 2025'!$E$23:$E$30,'Cálculos Pádel 2025'!C20)</f>
        <v>1</v>
      </c>
      <c r="Q20" s="8">
        <f>SUMIFS('Liguilla Navidad 2025'!$AH$23:$AH$30,'Liguilla Navidad 2025'!$Q$23:$Q$30,'Cálculos Pádel 2025'!C20)</f>
        <v>0</v>
      </c>
      <c r="R20" s="21">
        <f t="shared" ref="R20:R21" si="5">SUM(P20:Q20)</f>
        <v>1</v>
      </c>
      <c r="S20" s="51">
        <f t="shared" ref="S20:S21" si="6">O20-R20</f>
        <v>1</v>
      </c>
      <c r="T20" s="3">
        <f>SUMIFS('Liguilla Navidad 2025'!$AB$23:$AB$30,'Liguilla Navidad 2025'!$E$23:$E$30,'Cálculos Pádel 2025'!C20)</f>
        <v>15</v>
      </c>
      <c r="U20" s="2">
        <f>SUMIFS('Liguilla Navidad 2025'!$AI$23:$AI$30,'Liguilla Navidad 2025'!$Q$23:$Q$30,'Cálculos Pádel 2025'!C20)</f>
        <v>0</v>
      </c>
      <c r="V20" s="22">
        <f t="shared" ref="V20:V21" si="7">SUM(T20:U20)</f>
        <v>15</v>
      </c>
      <c r="W20" s="26">
        <f>SUMIFS('Liguilla Navidad 2025'!$AC$23:$AC$30,'Liguilla Navidad 2025'!$E$23:$E$30,'Cálculos Pádel 2025'!C20)</f>
        <v>12</v>
      </c>
      <c r="X20" s="2">
        <f>SUMIFS('Liguilla Navidad 2025'!$AJ$23:$AJ$30,'Liguilla Navidad 2025'!$Q$23:$Q$30,'Cálculos Pádel 2025'!C20)</f>
        <v>0</v>
      </c>
      <c r="Y20" s="27">
        <f t="shared" ref="Y20:Y21" si="8">SUM(W20:X20)</f>
        <v>12</v>
      </c>
      <c r="Z20" s="24">
        <f t="shared" ref="Z20:Z21" si="9">V20-Y20</f>
        <v>3</v>
      </c>
      <c r="AA20" s="165">
        <f t="shared" ref="AA20:AA21" si="10">+K20*100+(S20/100+(Z20/100)-ROW()/10000)</f>
        <v>100.038</v>
      </c>
    </row>
    <row r="21" spans="2:30" ht="15.75" outlineLevel="1" thickBot="1" x14ac:dyDescent="0.3">
      <c r="B21" s="54">
        <f>_xlfn.RANK.EQ(AA21,$AA$19:$AA$21)</f>
        <v>3</v>
      </c>
      <c r="C21" s="17" t="str">
        <f>'Liguilla Navidad 2025'!E11</f>
        <v>CARLOS / QUINTANA</v>
      </c>
      <c r="D21" s="60" t="s">
        <v>19</v>
      </c>
      <c r="E21" s="136">
        <f t="shared" si="0"/>
        <v>0</v>
      </c>
      <c r="F21" s="12">
        <f>COUNTIFS('Liguilla Navidad 2025'!$F$23:$F$30,"&lt;&gt;",'Liguilla Navidad 2025'!$E$23:$E$30,'Cálculos Pádel 2025'!C21)</f>
        <v>1</v>
      </c>
      <c r="G21" s="13">
        <f>COUNTIFS('Liguilla Navidad 2025'!$R$23:$R$30,"&lt;&gt;",'Liguilla Navidad 2025'!$Q$23:$Q$30,'Cálculos Pádel 2025'!C21)</f>
        <v>0</v>
      </c>
      <c r="H21" s="14">
        <f t="shared" si="1"/>
        <v>1</v>
      </c>
      <c r="I21" s="4">
        <f>COUNTIF('Liguilla Navidad 2025'!$X$23:$X$30,'Cálculos Pádel 2025'!C21)</f>
        <v>0</v>
      </c>
      <c r="J21" s="5">
        <f>COUNTIF('Liguilla Navidad 2025'!$AE$23:$AE$30,'Cálculos Pádel 2025'!C21)</f>
        <v>0</v>
      </c>
      <c r="K21" s="7">
        <f t="shared" si="2"/>
        <v>0</v>
      </c>
      <c r="L21" s="54">
        <f t="shared" si="3"/>
        <v>1</v>
      </c>
      <c r="M21" s="12">
        <f>SUMIFS('Liguilla Navidad 2025'!$Z$23:$Z$30,'Liguilla Navidad 2025'!$E$23:$E$30,'Cálculos Pádel 2025'!C21)</f>
        <v>1</v>
      </c>
      <c r="N21" s="13">
        <f>SUMIFS('Liguilla Navidad 2025'!$AG$23:$AG$30,'Liguilla Navidad 2025'!$Q$23:$Q$30,'Cálculos Pádel 2025'!C21)</f>
        <v>0</v>
      </c>
      <c r="O21" s="19">
        <f t="shared" si="4"/>
        <v>1</v>
      </c>
      <c r="P21" s="47">
        <f>SUMIFS('Liguilla Navidad 2025'!$AA$23:$AA$30,'Liguilla Navidad 2025'!$E$23:$E$30,'Cálculos Pádel 2025'!C21)</f>
        <v>2</v>
      </c>
      <c r="Q21" s="48">
        <f>SUMIFS('Liguilla Navidad 2025'!$AH$23:$AH$30,'Liguilla Navidad 2025'!$Q$23:$Q$30,'Cálculos Pádel 2025'!C21)</f>
        <v>0</v>
      </c>
      <c r="R21" s="49">
        <f t="shared" si="5"/>
        <v>2</v>
      </c>
      <c r="S21" s="163">
        <f t="shared" si="6"/>
        <v>-1</v>
      </c>
      <c r="T21" s="4">
        <f>SUMIFS('Liguilla Navidad 2025'!$AB$23:$AB$30,'Liguilla Navidad 2025'!$E$23:$E$30,'Cálculos Pádel 2025'!C21)</f>
        <v>12</v>
      </c>
      <c r="U21" s="5">
        <f>SUMIFS('Liguilla Navidad 2025'!$AI$23:$AI$30,'Liguilla Navidad 2025'!$Q$23:$Q$30,'Cálculos Pádel 2025'!C21)</f>
        <v>0</v>
      </c>
      <c r="V21" s="23">
        <f t="shared" si="7"/>
        <v>12</v>
      </c>
      <c r="W21" s="28">
        <f>SUMIFS('Liguilla Navidad 2025'!$AC$23:$AC$30,'Liguilla Navidad 2025'!$E$23:$E$30,'Cálculos Pádel 2025'!C21)</f>
        <v>15</v>
      </c>
      <c r="X21" s="5">
        <f>SUMIFS('Liguilla Navidad 2025'!$AJ$23:$AJ$30,'Liguilla Navidad 2025'!$Q$23:$Q$30,'Cálculos Pádel 2025'!C21)</f>
        <v>0</v>
      </c>
      <c r="Y21" s="29">
        <f t="shared" si="8"/>
        <v>15</v>
      </c>
      <c r="Z21" s="25">
        <f t="shared" si="9"/>
        <v>-3</v>
      </c>
      <c r="AA21" s="58">
        <f t="shared" si="10"/>
        <v>-4.2099999999999999E-2</v>
      </c>
    </row>
    <row r="22" spans="2:30" outlineLevel="1" x14ac:dyDescent="0.25"/>
    <row r="25" spans="2:30" ht="15" customHeight="1" outlineLevel="1" x14ac:dyDescent="0.25">
      <c r="B25" s="233" t="str">
        <f>'Liguilla Navidad 2025'!Q8</f>
        <v>GRUPO Y</v>
      </c>
      <c r="C25" s="233"/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</row>
    <row r="26" spans="2:30" ht="15.75" customHeight="1" outlineLevel="1" thickBot="1" x14ac:dyDescent="0.3">
      <c r="B26" s="234"/>
      <c r="C26" s="234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</row>
    <row r="27" spans="2:30" ht="15" customHeight="1" outlineLevel="1" thickBot="1" x14ac:dyDescent="0.3">
      <c r="B27" s="265" t="s">
        <v>8</v>
      </c>
      <c r="C27" s="235" t="s">
        <v>3</v>
      </c>
      <c r="D27" s="235" t="s">
        <v>44</v>
      </c>
      <c r="E27" s="270" t="s">
        <v>42</v>
      </c>
      <c r="F27" s="243" t="s">
        <v>4</v>
      </c>
      <c r="G27" s="244"/>
      <c r="H27" s="245"/>
      <c r="I27" s="249" t="s">
        <v>30</v>
      </c>
      <c r="J27" s="250"/>
      <c r="K27" s="251"/>
      <c r="L27" s="260" t="s">
        <v>37</v>
      </c>
      <c r="M27" s="238" t="s">
        <v>36</v>
      </c>
      <c r="N27" s="239"/>
      <c r="O27" s="239"/>
      <c r="P27" s="239"/>
      <c r="Q27" s="239"/>
      <c r="R27" s="239"/>
      <c r="S27" s="240"/>
      <c r="T27" s="257" t="s">
        <v>31</v>
      </c>
      <c r="U27" s="258"/>
      <c r="V27" s="258"/>
      <c r="W27" s="258"/>
      <c r="X27" s="258"/>
      <c r="Y27" s="258"/>
      <c r="Z27" s="269"/>
      <c r="AA27" s="262" t="s">
        <v>5</v>
      </c>
    </row>
    <row r="28" spans="2:30" ht="15.75" outlineLevel="1" thickBot="1" x14ac:dyDescent="0.3">
      <c r="B28" s="266"/>
      <c r="C28" s="236"/>
      <c r="D28" s="236"/>
      <c r="E28" s="271"/>
      <c r="F28" s="246"/>
      <c r="G28" s="247"/>
      <c r="H28" s="248"/>
      <c r="I28" s="252"/>
      <c r="J28" s="253"/>
      <c r="K28" s="254"/>
      <c r="L28" s="261"/>
      <c r="M28" s="238" t="s">
        <v>28</v>
      </c>
      <c r="N28" s="239"/>
      <c r="O28" s="241"/>
      <c r="P28" s="242" t="s">
        <v>29</v>
      </c>
      <c r="Q28" s="239"/>
      <c r="R28" s="240"/>
      <c r="S28" s="255" t="s">
        <v>32</v>
      </c>
      <c r="T28" s="257" t="s">
        <v>28</v>
      </c>
      <c r="U28" s="258"/>
      <c r="V28" s="259"/>
      <c r="W28" s="268" t="s">
        <v>29</v>
      </c>
      <c r="X28" s="258"/>
      <c r="Y28" s="269"/>
      <c r="Z28" s="273" t="s">
        <v>32</v>
      </c>
      <c r="AA28" s="263"/>
    </row>
    <row r="29" spans="2:30" ht="15.75" outlineLevel="1" thickBot="1" x14ac:dyDescent="0.3">
      <c r="B29" s="267"/>
      <c r="C29" s="237"/>
      <c r="D29" s="237"/>
      <c r="E29" s="272"/>
      <c r="F29" s="30" t="s">
        <v>0</v>
      </c>
      <c r="G29" s="31" t="s">
        <v>1</v>
      </c>
      <c r="H29" s="41" t="s">
        <v>11</v>
      </c>
      <c r="I29" s="35" t="s">
        <v>0</v>
      </c>
      <c r="J29" s="36" t="s">
        <v>1</v>
      </c>
      <c r="K29" s="40" t="s">
        <v>11</v>
      </c>
      <c r="L29" s="55" t="s">
        <v>11</v>
      </c>
      <c r="M29" s="30" t="s">
        <v>0</v>
      </c>
      <c r="N29" s="31" t="s">
        <v>1</v>
      </c>
      <c r="O29" s="32" t="s">
        <v>11</v>
      </c>
      <c r="P29" s="33" t="s">
        <v>0</v>
      </c>
      <c r="Q29" s="31" t="s">
        <v>1</v>
      </c>
      <c r="R29" s="34" t="s">
        <v>11</v>
      </c>
      <c r="S29" s="256"/>
      <c r="T29" s="35" t="s">
        <v>0</v>
      </c>
      <c r="U29" s="36" t="s">
        <v>1</v>
      </c>
      <c r="V29" s="37" t="s">
        <v>11</v>
      </c>
      <c r="W29" s="38" t="s">
        <v>0</v>
      </c>
      <c r="X29" s="36" t="s">
        <v>1</v>
      </c>
      <c r="Y29" s="39" t="s">
        <v>11</v>
      </c>
      <c r="Z29" s="274"/>
      <c r="AA29" s="264"/>
    </row>
    <row r="30" spans="2:30" outlineLevel="1" x14ac:dyDescent="0.25">
      <c r="B30" s="52">
        <f>_xlfn.RANK.EQ(AA30,$AA$30:$AA$32)</f>
        <v>3</v>
      </c>
      <c r="C30" s="59" t="str">
        <f>'Liguilla Navidad 2025'!Q9</f>
        <v>JAIME / CAPÓN</v>
      </c>
      <c r="D30" s="59" t="s">
        <v>22</v>
      </c>
      <c r="E30" s="134">
        <f>K30*3</f>
        <v>0</v>
      </c>
      <c r="F30" s="42">
        <f>COUNTIFS('Liguilla Navidad 2025'!$F$23:$F$30,"&lt;&gt;",'Liguilla Navidad 2025'!$E$23:$E$30,'Cálculos Pádel 2025'!C30)</f>
        <v>0</v>
      </c>
      <c r="G30" s="43">
        <f>COUNTIFS('Liguilla Navidad 2025'!$R$23:$R$30,"&lt;&gt;",'Liguilla Navidad 2025'!$Q$23:$Q$30,'Cálculos Pádel 2025'!C30)</f>
        <v>1</v>
      </c>
      <c r="H30" s="155">
        <f>SUM(F30:G30)</f>
        <v>1</v>
      </c>
      <c r="I30" s="156">
        <f>COUNTIF('Liguilla Navidad 2025'!$X$23:$X$30,'Cálculos Pádel 2025'!C30)</f>
        <v>0</v>
      </c>
      <c r="J30" s="157">
        <f>COUNTIF('Liguilla Navidad 2025'!$AE$23:$AE$30,'Cálculos Pádel 2025'!C30)</f>
        <v>0</v>
      </c>
      <c r="K30" s="158">
        <f>SUM(I30:J30)</f>
        <v>0</v>
      </c>
      <c r="L30" s="52">
        <f>IF(H30=K30,0,IF(H30&gt;K30,H30-K30))</f>
        <v>1</v>
      </c>
      <c r="M30" s="42">
        <f>SUMIFS('Liguilla Navidad 2025'!$Z$23:$Z$30,'Liguilla Navidad 2025'!$E$23:$E$30,'Cálculos Pádel 2025'!C30)</f>
        <v>0</v>
      </c>
      <c r="N30" s="43">
        <f>SUMIFS('Liguilla Navidad 2025'!$AG$23:$AG$30,'Liguilla Navidad 2025'!$Q$23:$Q$30,'Cálculos Pádel 2025'!C30)</f>
        <v>0</v>
      </c>
      <c r="O30" s="44">
        <f>SUM(M30:N30)</f>
        <v>0</v>
      </c>
      <c r="P30" s="45">
        <f>SUMIFS('Liguilla Navidad 2025'!$AA$23:$AA$30,'Liguilla Navidad 2025'!$E$23:$E$30,'Cálculos Pádel 2025'!C30)</f>
        <v>0</v>
      </c>
      <c r="Q30" s="43">
        <f>SUMIFS('Liguilla Navidad 2025'!$AH$23:$AH$30,'Liguilla Navidad 2025'!$Q$23:$Q$30,'Cálculos Pádel 2025'!C30)</f>
        <v>2</v>
      </c>
      <c r="R30" s="46">
        <f>SUM(P30:Q30)</f>
        <v>2</v>
      </c>
      <c r="S30" s="50">
        <f>O30-R30</f>
        <v>-2</v>
      </c>
      <c r="T30" s="156">
        <f>SUMIFS('Liguilla Navidad 2025'!$AB$23:$AB$30,'Liguilla Navidad 2025'!$E$23:$E$30,'Cálculos Pádel 2025'!C30)</f>
        <v>0</v>
      </c>
      <c r="U30" s="157">
        <f>SUMIFS('Liguilla Navidad 2025'!$AI$23:$AI$30,'Liguilla Navidad 2025'!$Q$23:$Q$30,'Cálculos Pádel 2025'!C30)</f>
        <v>6</v>
      </c>
      <c r="V30" s="159">
        <f>SUM(T30:U30)</f>
        <v>6</v>
      </c>
      <c r="W30" s="160">
        <f>SUMIFS('Liguilla Navidad 2025'!$AC$23:$AC$30,'Liguilla Navidad 2025'!$E$23:$E$30,'Cálculos Pádel 2025'!C30)</f>
        <v>0</v>
      </c>
      <c r="X30" s="157">
        <f>SUMIFS('Liguilla Navidad 2025'!$AJ$23:$AJ$30,'Liguilla Navidad 2025'!$Q$23:$Q$30,'Cálculos Pádel 2025'!C30)</f>
        <v>12</v>
      </c>
      <c r="Y30" s="161">
        <f>SUM(W30:X30)</f>
        <v>12</v>
      </c>
      <c r="Z30" s="162">
        <f>V30-Y30</f>
        <v>-6</v>
      </c>
      <c r="AA30" s="56">
        <f>+K30*100+(S30/100+(Z30/100)-ROW()/10000)</f>
        <v>-8.3000000000000004E-2</v>
      </c>
    </row>
    <row r="31" spans="2:30" outlineLevel="1" x14ac:dyDescent="0.25">
      <c r="B31" s="53">
        <f>_xlfn.RANK.EQ(AA31,$AA$30:$AA$32)</f>
        <v>1</v>
      </c>
      <c r="C31" s="16" t="str">
        <f>'Liguilla Navidad 2025'!Q10</f>
        <v>TOLEDO / JUAN</v>
      </c>
      <c r="D31" s="15" t="s">
        <v>23</v>
      </c>
      <c r="E31" s="135">
        <f t="shared" ref="E31:E32" si="11">K31*3</f>
        <v>3</v>
      </c>
      <c r="F31" s="9">
        <f>COUNTIFS('Liguilla Navidad 2025'!$F$23:$F$30,"&lt;&gt;",'Liguilla Navidad 2025'!$E$23:$E$30,'Cálculos Pádel 2025'!C31)</f>
        <v>0</v>
      </c>
      <c r="G31" s="10">
        <f>COUNTIFS('Liguilla Navidad 2025'!$R$23:$R$30,"&lt;&gt;",'Liguilla Navidad 2025'!$Q$23:$Q$30,'Cálculos Pádel 2025'!C31)</f>
        <v>1</v>
      </c>
      <c r="H31" s="11">
        <f t="shared" ref="H31:H32" si="12">SUM(F31:G31)</f>
        <v>1</v>
      </c>
      <c r="I31" s="3">
        <f>COUNTIF('Liguilla Navidad 2025'!$X$23:$X$30,'Cálculos Pádel 2025'!C31)</f>
        <v>0</v>
      </c>
      <c r="J31" s="2">
        <f>COUNTIF('Liguilla Navidad 2025'!$AE$23:$AE$30,'Cálculos Pádel 2025'!C31)</f>
        <v>1</v>
      </c>
      <c r="K31" s="6">
        <f t="shared" ref="K31:K32" si="13">SUM(I31:J31)</f>
        <v>1</v>
      </c>
      <c r="L31" s="53">
        <f t="shared" ref="L31:L32" si="14">IF(H31=K31,0,IF(H31&gt;K31,H31-K31))</f>
        <v>0</v>
      </c>
      <c r="M31" s="9">
        <f>SUMIFS('Liguilla Navidad 2025'!$Z$23:$Z$30,'Liguilla Navidad 2025'!$E$23:$E$30,'Cálculos Pádel 2025'!C31)</f>
        <v>0</v>
      </c>
      <c r="N31" s="10">
        <f>SUMIFS('Liguilla Navidad 2025'!$AG$23:$AG$30,'Liguilla Navidad 2025'!$Q$23:$Q$30,'Cálculos Pádel 2025'!C31)</f>
        <v>2</v>
      </c>
      <c r="O31" s="18">
        <f t="shared" ref="O31:O32" si="15">SUM(M31:N31)</f>
        <v>2</v>
      </c>
      <c r="P31" s="20">
        <f>SUMIFS('Liguilla Navidad 2025'!$AA$23:$AA$30,'Liguilla Navidad 2025'!$E$23:$E$30,'Cálculos Pádel 2025'!C31)</f>
        <v>0</v>
      </c>
      <c r="Q31" s="8">
        <f>SUMIFS('Liguilla Navidad 2025'!$AH$23:$AH$30,'Liguilla Navidad 2025'!$Q$23:$Q$30,'Cálculos Pádel 2025'!C31)</f>
        <v>0</v>
      </c>
      <c r="R31" s="21">
        <f t="shared" ref="R31:R32" si="16">SUM(P31:Q31)</f>
        <v>0</v>
      </c>
      <c r="S31" s="51">
        <f t="shared" ref="S31:S32" si="17">O31-R31</f>
        <v>2</v>
      </c>
      <c r="T31" s="3">
        <f>SUMIFS('Liguilla Navidad 2025'!$AB$23:$AB$30,'Liguilla Navidad 2025'!$E$23:$E$30,'Cálculos Pádel 2025'!C31)</f>
        <v>0</v>
      </c>
      <c r="U31" s="2">
        <f>SUMIFS('Liguilla Navidad 2025'!$AI$23:$AI$30,'Liguilla Navidad 2025'!$Q$23:$Q$30,'Cálculos Pádel 2025'!C31)</f>
        <v>12</v>
      </c>
      <c r="V31" s="22">
        <f t="shared" ref="V31:V32" si="18">SUM(T31:U31)</f>
        <v>12</v>
      </c>
      <c r="W31" s="26">
        <f>SUMIFS('Liguilla Navidad 2025'!$AC$23:$AC$30,'Liguilla Navidad 2025'!$E$23:$E$30,'Cálculos Pádel 2025'!C31)</f>
        <v>0</v>
      </c>
      <c r="X31" s="2">
        <f>SUMIFS('Liguilla Navidad 2025'!$AJ$23:$AJ$30,'Liguilla Navidad 2025'!$Q$23:$Q$30,'Cálculos Pádel 2025'!C31)</f>
        <v>6</v>
      </c>
      <c r="Y31" s="27">
        <f t="shared" ref="Y31:Y32" si="19">SUM(W31:X31)</f>
        <v>6</v>
      </c>
      <c r="Z31" s="24">
        <f t="shared" ref="Z31:Z32" si="20">V31-Y31</f>
        <v>6</v>
      </c>
      <c r="AA31" s="57">
        <f>+K31*100+(S31/100+(Z31/100)-ROW()/10000)</f>
        <v>100.07689999999999</v>
      </c>
    </row>
    <row r="32" spans="2:30" ht="15.75" outlineLevel="1" thickBot="1" x14ac:dyDescent="0.3">
      <c r="B32" s="54">
        <f>_xlfn.RANK.EQ(AA32,$AA$30:$AA$32)</f>
        <v>2</v>
      </c>
      <c r="C32" s="17" t="str">
        <f>'Liguilla Navidad 2025'!Q11</f>
        <v>JAVI / DIEGO</v>
      </c>
      <c r="D32" s="60" t="s">
        <v>24</v>
      </c>
      <c r="E32" s="136">
        <f t="shared" si="11"/>
        <v>0</v>
      </c>
      <c r="F32" s="12">
        <f>COUNTIFS('Liguilla Navidad 2025'!$F$23:$F$30,"&lt;&gt;",'Liguilla Navidad 2025'!$E$23:$E$30,'Cálculos Pádel 2025'!C32)</f>
        <v>0</v>
      </c>
      <c r="G32" s="13">
        <f>COUNTIFS('Liguilla Navidad 2025'!$R$23:$R$30,"&lt;&gt;",'Liguilla Navidad 2025'!$Q$23:$Q$30,'Cálculos Pádel 2025'!C32)</f>
        <v>0</v>
      </c>
      <c r="H32" s="14">
        <f t="shared" si="12"/>
        <v>0</v>
      </c>
      <c r="I32" s="4">
        <f>COUNTIF('Liguilla Navidad 2025'!$X$23:$X$30,'Cálculos Pádel 2025'!C32)</f>
        <v>0</v>
      </c>
      <c r="J32" s="5">
        <f>COUNTIF('Liguilla Navidad 2025'!$AE$23:$AE$30,'Cálculos Pádel 2025'!C32)</f>
        <v>0</v>
      </c>
      <c r="K32" s="7">
        <f t="shared" si="13"/>
        <v>0</v>
      </c>
      <c r="L32" s="54">
        <f t="shared" si="14"/>
        <v>0</v>
      </c>
      <c r="M32" s="12">
        <f>SUMIFS('Liguilla Navidad 2025'!$Z$23:$Z$30,'Liguilla Navidad 2025'!$E$23:$E$30,'Cálculos Pádel 2025'!C32)</f>
        <v>0</v>
      </c>
      <c r="N32" s="13">
        <f>SUMIFS('Liguilla Navidad 2025'!$AG$23:$AG$30,'Liguilla Navidad 2025'!$Q$23:$Q$30,'Cálculos Pádel 2025'!C32)</f>
        <v>0</v>
      </c>
      <c r="O32" s="19">
        <f t="shared" si="15"/>
        <v>0</v>
      </c>
      <c r="P32" s="47">
        <f>SUMIFS('Liguilla Navidad 2025'!$AA$23:$AA$30,'Liguilla Navidad 2025'!$E$23:$E$30,'Cálculos Pádel 2025'!C32)</f>
        <v>0</v>
      </c>
      <c r="Q32" s="48">
        <f>SUMIFS('Liguilla Navidad 2025'!$AH$23:$AH$30,'Liguilla Navidad 2025'!$Q$23:$Q$30,'Cálculos Pádel 2025'!C32)</f>
        <v>0</v>
      </c>
      <c r="R32" s="49">
        <f t="shared" si="16"/>
        <v>0</v>
      </c>
      <c r="S32" s="163">
        <f t="shared" si="17"/>
        <v>0</v>
      </c>
      <c r="T32" s="4">
        <f>SUMIFS('Liguilla Navidad 2025'!$AB$23:$AB$30,'Liguilla Navidad 2025'!$E$23:$E$30,'Cálculos Pádel 2025'!C32)</f>
        <v>0</v>
      </c>
      <c r="U32" s="5">
        <f>SUMIFS('Liguilla Navidad 2025'!$AI$23:$AI$30,'Liguilla Navidad 2025'!$Q$23:$Q$30,'Cálculos Pádel 2025'!C32)</f>
        <v>0</v>
      </c>
      <c r="V32" s="23">
        <f t="shared" si="18"/>
        <v>0</v>
      </c>
      <c r="W32" s="28">
        <f>SUMIFS('Liguilla Navidad 2025'!$AC$23:$AC$30,'Liguilla Navidad 2025'!$E$23:$E$30,'Cálculos Pádel 2025'!C32)</f>
        <v>0</v>
      </c>
      <c r="X32" s="5">
        <f>SUMIFS('Liguilla Navidad 2025'!$AJ$23:$AJ$30,'Liguilla Navidad 2025'!$Q$23:$Q$30,'Cálculos Pádel 2025'!C32)</f>
        <v>0</v>
      </c>
      <c r="Y32" s="29">
        <f t="shared" si="19"/>
        <v>0</v>
      </c>
      <c r="Z32" s="25">
        <f t="shared" si="20"/>
        <v>0</v>
      </c>
      <c r="AA32" s="58">
        <f>+K32*100+(S32/100+(Z32/100)-ROW()/10000)</f>
        <v>-3.2000000000000002E-3</v>
      </c>
    </row>
    <row r="33" outlineLevel="1" x14ac:dyDescent="0.25"/>
  </sheetData>
  <mergeCells count="35">
    <mergeCell ref="Z28:Z29"/>
    <mergeCell ref="T27:Z27"/>
    <mergeCell ref="AA27:AA29"/>
    <mergeCell ref="W28:Y28"/>
    <mergeCell ref="B27:B29"/>
    <mergeCell ref="C27:C29"/>
    <mergeCell ref="F27:H28"/>
    <mergeCell ref="I27:K28"/>
    <mergeCell ref="E27:E29"/>
    <mergeCell ref="C16:C18"/>
    <mergeCell ref="T17:V17"/>
    <mergeCell ref="W17:Y17"/>
    <mergeCell ref="T16:Z16"/>
    <mergeCell ref="L16:L17"/>
    <mergeCell ref="E16:E18"/>
    <mergeCell ref="Z17:Z18"/>
    <mergeCell ref="M17:O17"/>
    <mergeCell ref="P17:R17"/>
    <mergeCell ref="S17:S18"/>
    <mergeCell ref="C3:D4"/>
    <mergeCell ref="B14:AA15"/>
    <mergeCell ref="B25:AA26"/>
    <mergeCell ref="D16:D18"/>
    <mergeCell ref="D27:D29"/>
    <mergeCell ref="M27:S27"/>
    <mergeCell ref="M28:O28"/>
    <mergeCell ref="P28:R28"/>
    <mergeCell ref="M16:S16"/>
    <mergeCell ref="F16:H17"/>
    <mergeCell ref="I16:K17"/>
    <mergeCell ref="S28:S29"/>
    <mergeCell ref="T28:V28"/>
    <mergeCell ref="L27:L28"/>
    <mergeCell ref="AA16:AA18"/>
    <mergeCell ref="B16:B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Liguilla Navidad 2025</vt:lpstr>
      <vt:lpstr>Cálculos Pádel 2025</vt:lpstr>
      <vt:lpstr>'Liguilla Navidad 2025'!Área_de_impresión</vt:lpstr>
      <vt:lpstr>'Liguilla Navidad 2025'!Pista1_Local</vt:lpstr>
      <vt:lpstr>'Liguilla Navidad 2025'!Pista1_Visitante</vt:lpstr>
      <vt:lpstr>'Liguilla Navidad 2025'!Pista2_Local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cp:lastPrinted>2025-09-11T17:45:09Z</cp:lastPrinted>
  <dcterms:created xsi:type="dcterms:W3CDTF">2021-12-11T09:03:08Z</dcterms:created>
  <dcterms:modified xsi:type="dcterms:W3CDTF">2025-12-23T15:52:13Z</dcterms:modified>
</cp:coreProperties>
</file>